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erson Calderon\Desktop\SISTEMA MUEBLES\"/>
    </mc:Choice>
  </mc:AlternateContent>
  <xr:revisionPtr revIDLastSave="0" documentId="13_ncr:1_{A6DE8A88-A2C0-451C-9444-FF5B56DAE1AC}" xr6:coauthVersionLast="47" xr6:coauthVersionMax="47" xr10:uidLastSave="{00000000-0000-0000-0000-000000000000}"/>
  <bookViews>
    <workbookView xWindow="-120" yWindow="-120" windowWidth="20730" windowHeight="11160" xr2:uid="{46CF4467-0906-401A-AD4C-16CB9D0E5C7F}"/>
  </bookViews>
  <sheets>
    <sheet name="PRODUCTOS " sheetId="6" r:id="rId1"/>
    <sheet name="ENTRADAS" sheetId="7" r:id="rId2"/>
    <sheet name="SALIDAS" sheetId="8" r:id="rId3"/>
    <sheet name="CLIENTES" sheetId="1" r:id="rId4"/>
    <sheet name="CREDITOS" sheetId="2" r:id="rId5"/>
    <sheet name="CONTADO" sheetId="3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6" l="1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F3" i="8"/>
  <c r="C3" i="8"/>
  <c r="E3" i="8"/>
  <c r="D2" i="6"/>
  <c r="E2" i="8"/>
  <c r="F2" i="8" s="1"/>
  <c r="C2" i="8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C2" i="7"/>
  <c r="M12" i="2"/>
  <c r="M11" i="2"/>
  <c r="M10" i="2"/>
  <c r="L13" i="3"/>
  <c r="N13" i="3" s="1"/>
  <c r="L12" i="3"/>
  <c r="N12" i="3" s="1"/>
  <c r="L11" i="3"/>
  <c r="N11" i="3" s="1"/>
  <c r="L10" i="3"/>
  <c r="N10" i="3" s="1"/>
  <c r="H13" i="3"/>
  <c r="H12" i="3"/>
  <c r="H11" i="3"/>
  <c r="H10" i="3"/>
  <c r="H8" i="3"/>
  <c r="I12" i="2"/>
  <c r="I11" i="2"/>
  <c r="I10" i="2"/>
  <c r="I8" i="2"/>
  <c r="H15" i="3" l="1"/>
  <c r="I14" i="2"/>
</calcChain>
</file>

<file path=xl/sharedStrings.xml><?xml version="1.0" encoding="utf-8"?>
<sst xmlns="http://schemas.openxmlformats.org/spreadsheetml/2006/main" count="457" uniqueCount="440">
  <si>
    <t xml:space="preserve">CODIGO </t>
  </si>
  <si>
    <t>NOMBRES Y APELLIDOS</t>
  </si>
  <si>
    <t>NUMERO DE CEDULA</t>
  </si>
  <si>
    <t>DIRECCIÓN</t>
  </si>
  <si>
    <t>TELEFONO</t>
  </si>
  <si>
    <t>CLIENTE</t>
  </si>
  <si>
    <t>FECHA</t>
  </si>
  <si>
    <t>CREDITO</t>
  </si>
  <si>
    <t xml:space="preserve">PRODUCTOS </t>
  </si>
  <si>
    <t>No DE CUOTAS</t>
  </si>
  <si>
    <t>VALOR UNIT</t>
  </si>
  <si>
    <t>VALOR TOTAL</t>
  </si>
  <si>
    <t>CUOTA INICIAL</t>
  </si>
  <si>
    <t>TOTAL CREDITO</t>
  </si>
  <si>
    <t>IMPORTE CUOTA</t>
  </si>
  <si>
    <t>CONTADO</t>
  </si>
  <si>
    <t>CANT</t>
  </si>
  <si>
    <t xml:space="preserve">TOTAL VENTA </t>
  </si>
  <si>
    <t>ANOTACIONES</t>
  </si>
  <si>
    <t>CLI_001</t>
  </si>
  <si>
    <t>ANDERSON CALDERON GUEVARA</t>
  </si>
  <si>
    <t>BUGA</t>
  </si>
  <si>
    <t xml:space="preserve"> </t>
  </si>
  <si>
    <t>CLI_002</t>
  </si>
  <si>
    <t>CLI_003</t>
  </si>
  <si>
    <t>CLI_004</t>
  </si>
  <si>
    <t>CLI_005</t>
  </si>
  <si>
    <t>DOÑA DORA</t>
  </si>
  <si>
    <t>INZA</t>
  </si>
  <si>
    <t>YAMID PAJA</t>
  </si>
  <si>
    <t>LEIDY JOHANA ANGUCHO</t>
  </si>
  <si>
    <t xml:space="preserve">YERSON JAVIER SALAZAR </t>
  </si>
  <si>
    <t xml:space="preserve">MATERA GRANDE </t>
  </si>
  <si>
    <t>MATERA MEDIANA</t>
  </si>
  <si>
    <t>MATERA PEQUEÑA</t>
  </si>
  <si>
    <t>PLATON No 20 COLPLAST</t>
  </si>
  <si>
    <t>PLATON No 20 RIMO</t>
  </si>
  <si>
    <t>PONCHERA</t>
  </si>
  <si>
    <t>TANQUE DE 160LT</t>
  </si>
  <si>
    <t>TANQUE DE 100LT</t>
  </si>
  <si>
    <t>TANQUE DE 120LT</t>
  </si>
  <si>
    <t xml:space="preserve">CINCEL PLANO TRUPER </t>
  </si>
  <si>
    <t xml:space="preserve">ASPIRADORA DE CARRO + COMPRESOR </t>
  </si>
  <si>
    <t xml:space="preserve">CAMARA NETWORK HD </t>
  </si>
  <si>
    <t>ANTENAS DIGITAL NIA</t>
  </si>
  <si>
    <t>CAJONERA X4 RIMO</t>
  </si>
  <si>
    <t>ARMARIO DE MIMBRE DE CASITA1</t>
  </si>
  <si>
    <t>SILLA CON BRAZO RIMAX</t>
  </si>
  <si>
    <t>SILLA CON BRAZO RIMO</t>
  </si>
  <si>
    <t>BOTAS DE VIAJERO</t>
  </si>
  <si>
    <t>MALETA DE VIAJE GRANDE</t>
  </si>
  <si>
    <t>MALETA DE VIAJE MEDIANA</t>
  </si>
  <si>
    <t>MALETA DE VIAJE PEQUEÑA</t>
  </si>
  <si>
    <t>REGULADORES</t>
  </si>
  <si>
    <t>REMECERO</t>
  </si>
  <si>
    <t xml:space="preserve">TARRO DE BASURA </t>
  </si>
  <si>
    <t>ALCANCIA TIPO VACA</t>
  </si>
  <si>
    <t>ALMOHADA</t>
  </si>
  <si>
    <t xml:space="preserve">AMACA </t>
  </si>
  <si>
    <t>CALDERO ARO 32R</t>
  </si>
  <si>
    <t xml:space="preserve">CALDERO ARO 34R </t>
  </si>
  <si>
    <t>CALDERO FUNDIDO GRANDE IMUSA</t>
  </si>
  <si>
    <t>CALDERO IMUSA No 9 6.5L</t>
  </si>
  <si>
    <t xml:space="preserve">ESPATULA PARA AREPAS </t>
  </si>
  <si>
    <t>PERRO DE JUGUETE CON JAULA</t>
  </si>
  <si>
    <t>MUÑECO DE JUGUETE MARVEL VENGADORES</t>
  </si>
  <si>
    <t>PRINCESA MAGICA DE JUGUETE</t>
  </si>
  <si>
    <t xml:space="preserve">MUÑECA BARBIE CON ACCESORIOS </t>
  </si>
  <si>
    <t xml:space="preserve">MUÑECA DE BEBE LOVELY BABY </t>
  </si>
  <si>
    <t>MUÑECA ARIEL</t>
  </si>
  <si>
    <t xml:space="preserve">CORONA PARA NIÑA </t>
  </si>
  <si>
    <t>O</t>
  </si>
  <si>
    <t>MUÑECA VARIAS REF 2043</t>
  </si>
  <si>
    <t>MUÑECA BARBIE REF WJ201C</t>
  </si>
  <si>
    <t>ESPADA DE JUGUETE PARA NIÑA</t>
  </si>
  <si>
    <t>PISTOLA DE JUGUETE TUTO BOYS M:138C</t>
  </si>
  <si>
    <t>PISTOLA DE JUGUETE A31</t>
  </si>
  <si>
    <t>PISTOLA DE AGUA DE JUGUETE 1621</t>
  </si>
  <si>
    <t>PISTOLA DE AGUA DE JUGUETE 2188</t>
  </si>
  <si>
    <t>PISTOLA DE AGUA DE JUGUETE H997</t>
  </si>
  <si>
    <t>PISTOLA DE AGUA DE JUGUETE H991</t>
  </si>
  <si>
    <t>RELOJES DE JUGUETE PARA NIÑO PEQUEÑO</t>
  </si>
  <si>
    <t xml:space="preserve">RELOJES DE JUGUETE PARA NIÑO </t>
  </si>
  <si>
    <t>SET DE COCINA DE JUGUETE PARA NIÑO</t>
  </si>
  <si>
    <t xml:space="preserve">MAQUINA DE ESTUDIO DE JUGUETE </t>
  </si>
  <si>
    <t>DINOSAURIO DE JUGUETE DINO</t>
  </si>
  <si>
    <t xml:space="preserve">ARCO DE JUGUETE ARCHERY </t>
  </si>
  <si>
    <t>PISTOLA HERO CON TAMBOR</t>
  </si>
  <si>
    <t>PISTOLA STAR GHTING TUTO BOYS</t>
  </si>
  <si>
    <t>GUITARRA DE JUGUETE DE CUEDAS PARA NIÑO</t>
  </si>
  <si>
    <t>GUITARRA DE JUGUETE PARA NIÑO</t>
  </si>
  <si>
    <t>PIANO PARA BEBE TIPO CABALLO</t>
  </si>
  <si>
    <t>PIANO PARA BEBE</t>
  </si>
  <si>
    <t>CAMION MILITAR DE JUGUETE</t>
  </si>
  <si>
    <t>CAMION DE JUGUETE PEQUEÑO</t>
  </si>
  <si>
    <t>JUGUETE CAMION REMOLCADOR</t>
  </si>
  <si>
    <t>JUGUETE PARA NIÑO TRUCK 2087</t>
  </si>
  <si>
    <t>VOLQUETA JUGUETE PARA NIÑO</t>
  </si>
  <si>
    <t>MESA RIMO 4 PUESTOS</t>
  </si>
  <si>
    <t>MESA PARA NIÑOS RIMAX</t>
  </si>
  <si>
    <t>BICLETA PARA NIÑA PEQUEÑA</t>
  </si>
  <si>
    <t>BICICLETA PARA NIÑO PEQUEÑA</t>
  </si>
  <si>
    <t>VOLQUETA GRANDE</t>
  </si>
  <si>
    <t>BALANZA ELECTRONICA GYNIPOT GY-6990S</t>
  </si>
  <si>
    <t>PATINES CHICAGO 8102</t>
  </si>
  <si>
    <t>GALONES GRANDES</t>
  </si>
  <si>
    <t>GALONES PEQUEÑOS</t>
  </si>
  <si>
    <t>JUEGO DE VAJILLAS PIEZAS 4 PUESTOS</t>
  </si>
  <si>
    <t>TERMO COMIDA POLIMES 1.25LT</t>
  </si>
  <si>
    <t>TERMO COMIDA HOME ELEMENTS</t>
  </si>
  <si>
    <t>TERMO IMUSA DE 1LT</t>
  </si>
  <si>
    <t>VASOS PLASTICOS DE COLORES</t>
  </si>
  <si>
    <t>POCILLO DEL PAPA</t>
  </si>
  <si>
    <t xml:space="preserve">POCILLO SIN PLATO REDONDO </t>
  </si>
  <si>
    <t>VASO LISO INFANTIL B1011</t>
  </si>
  <si>
    <t>POCILLO DE CAFE APILABLE</t>
  </si>
  <si>
    <t>POCILLO DE TE COLOR BLANCO</t>
  </si>
  <si>
    <t>POCICLLO CIRCULAR MEDIANO ASA CERRADA</t>
  </si>
  <si>
    <t>VASOS EN BELAMINA</t>
  </si>
  <si>
    <t>POSILLOS PARA CAFE</t>
  </si>
  <si>
    <t>VASOS PEQUEÑOS EN BELAMINA</t>
  </si>
  <si>
    <t>PLATO LOSA DE SECO</t>
  </si>
  <si>
    <t>PLATO LOSA DE SOPA</t>
  </si>
  <si>
    <t>PLATO LOSA CUADRADO</t>
  </si>
  <si>
    <t xml:space="preserve">TABLA PARA PICAR </t>
  </si>
  <si>
    <t>CANASTAS</t>
  </si>
  <si>
    <t>VASO DE LICUADORA</t>
  </si>
  <si>
    <t>CUCHAREROS</t>
  </si>
  <si>
    <t>CALDERO IMUSA #7 DE 4.5LB</t>
  </si>
  <si>
    <t>CALDERO IMUSA #5 DE 3.5LB</t>
  </si>
  <si>
    <t>JUEGO DE TAZA REDONDA X6</t>
  </si>
  <si>
    <t>JUEGO DE TARROS SEMICUADRADO X6</t>
  </si>
  <si>
    <t>PLANCHAS PASA ASAR CARNE</t>
  </si>
  <si>
    <t xml:space="preserve">CERNIDORES </t>
  </si>
  <si>
    <t>CRISTALERA</t>
  </si>
  <si>
    <t>CUCHARA DE MADERA</t>
  </si>
  <si>
    <t>PINZA PARA EMPLATAR CARNE EN MADERA</t>
  </si>
  <si>
    <t>PINZA PARA EMPLATAR CARNE</t>
  </si>
  <si>
    <t>CUCHARONA TIPO SOPERA</t>
  </si>
  <si>
    <t>ESCURRIDOR PARA FREIR</t>
  </si>
  <si>
    <t>ESCURRIDORES PARA CAFE</t>
  </si>
  <si>
    <t>CUCHILLOS M&amp;FENG</t>
  </si>
  <si>
    <t>CUCHARONA TIPO ESPATULA BELAMINA</t>
  </si>
  <si>
    <t>SOPEROS BELAMINA</t>
  </si>
  <si>
    <t>RAYADORES DIACOR</t>
  </si>
  <si>
    <t xml:space="preserve">TABLAS DE PICAR DE MADERA </t>
  </si>
  <si>
    <t>MOLINILLO DE MADERA</t>
  </si>
  <si>
    <t>PINZAS PEQUEÑAS PARA PANADERIA</t>
  </si>
  <si>
    <t>PINZAS GRANDES PARA PANADERIA</t>
  </si>
  <si>
    <t>SELLADORES X8</t>
  </si>
  <si>
    <t>CUCHILLOS ICAMETAL</t>
  </si>
  <si>
    <t>CUCHILLOS X6</t>
  </si>
  <si>
    <t>TENEDORES X12</t>
  </si>
  <si>
    <t>TENEDORES</t>
  </si>
  <si>
    <t xml:space="preserve">CUCHARAS </t>
  </si>
  <si>
    <t>COPA DE HELADOS PEQUEÑA</t>
  </si>
  <si>
    <t>COPA DE HELADOS GRANDE5</t>
  </si>
  <si>
    <t>CHOCOLATERA 1CT</t>
  </si>
  <si>
    <t>CHOCOLATERA 2CT</t>
  </si>
  <si>
    <t xml:space="preserve">CHOCOLATERA 3CT </t>
  </si>
  <si>
    <t xml:space="preserve">RAYADORES DKASA </t>
  </si>
  <si>
    <t>FRIAMBERA TERMICA BRAYNER No 12</t>
  </si>
  <si>
    <t>JUEGO DE VAJILLAS CERAMICA BLAKER</t>
  </si>
  <si>
    <t xml:space="preserve">JUEGO DE VAJILLAS </t>
  </si>
  <si>
    <t>BANDEJA RECTANGULAR LISA CON BORDE BISELADO MEDIANA</t>
  </si>
  <si>
    <t>BANDEJA RECTANGULAR CON ASA OVALADA GRANDE</t>
  </si>
  <si>
    <t>BANDEJA RECTANGULAR PEQUEÑA</t>
  </si>
  <si>
    <t xml:space="preserve">FRUTERO EN ONDAS </t>
  </si>
  <si>
    <t>BOWL CUADRADO PEQUEÑO W1044</t>
  </si>
  <si>
    <t>BOWL CUADRADO GRANDE W1046</t>
  </si>
  <si>
    <t>BOWL CUADRADO GRANDE W1045</t>
  </si>
  <si>
    <t>MATERA CUADRADA GRANDE E1006</t>
  </si>
  <si>
    <t>COMEDERO PARA PERRO G1001</t>
  </si>
  <si>
    <t>MATERA CUADRADA MEDIANA E1004</t>
  </si>
  <si>
    <t>MATERA CIRCULAR GRANDE E1007</t>
  </si>
  <si>
    <t>MATERA CIRCULAR MEDIANO E1005</t>
  </si>
  <si>
    <t>BOWL CIRCULAR MEDIANO CW1003</t>
  </si>
  <si>
    <t xml:space="preserve">MACETA DE PLASTICO </t>
  </si>
  <si>
    <t>PLATO DE PLASTICO HONDO MELA HOME</t>
  </si>
  <si>
    <t>PLATO DE PLASTICO MELA HOME</t>
  </si>
  <si>
    <t>BANDEJA PEQUEÑA BANANA</t>
  </si>
  <si>
    <t>PLATO RECTANGULAR NIÑO CUATRO COMPARTIMIENTOS P1060</t>
  </si>
  <si>
    <t>PLATO PARA SOPA GRANDE W1005</t>
  </si>
  <si>
    <t>PLATO CIRCULAR SEMIONDO GRANDE P1008</t>
  </si>
  <si>
    <t>PLATO CIRCULAR PLANO GRANDE P2010</t>
  </si>
  <si>
    <t>PLATO CIRCULAR PLANO MEDIANO P2009</t>
  </si>
  <si>
    <t>PLATO CIRCULAR PLANO PEQUEÑO P2008</t>
  </si>
  <si>
    <t>PLATO CUADRADO BORDE DE PUNTA MEDIANA P1005</t>
  </si>
  <si>
    <t>PLATO MEDIANO CUADRADO P1002</t>
  </si>
  <si>
    <t>PLATO CIRCULAR PLANO MINI P2006</t>
  </si>
  <si>
    <t>PLATO GRANDE CUADRADO P1006</t>
  </si>
  <si>
    <t>PLATO OVALADO CON BORDE PLANO GRANDE P1024</t>
  </si>
  <si>
    <t>PLATO OVALADO CON BORDE PLANO MEDIANO P1022</t>
  </si>
  <si>
    <t>ENSALADERA SIN ASAS Y SIN TAPA</t>
  </si>
  <si>
    <t>TAZA CIRCULAR MINI W1034</t>
  </si>
  <si>
    <t>PLATO PARA SOPA BLANCO DECORADO W1003</t>
  </si>
  <si>
    <t>BOWL SOPA CIRCULAR W1021</t>
  </si>
  <si>
    <t>ENSALADERA SIN ASAS Y TAPA W1025</t>
  </si>
  <si>
    <t>TAZA GRANDE 28 ONZ DECORADA</t>
  </si>
  <si>
    <t>TAZA MEDIANA DECORADA REF 620124</t>
  </si>
  <si>
    <t>TAZA CON AGARRADERA W1042</t>
  </si>
  <si>
    <t>TAZA CONSOME SIN ASAS</t>
  </si>
  <si>
    <t>TAZA CUADRADA PEQUEÑA BLANCA CW1002</t>
  </si>
  <si>
    <t>TERMO UNIVERSAL DE 1LT</t>
  </si>
  <si>
    <t>TERMO HOME ELEMENTS DE 1LT</t>
  </si>
  <si>
    <t>TERMO BOMBA HOME ELEMENTS DE 1.9LT</t>
  </si>
  <si>
    <t>TRIPOD GW-001</t>
  </si>
  <si>
    <t xml:space="preserve">VAJILLA EN MELAMINA </t>
  </si>
  <si>
    <t>PITADORA CORONA DE 4 LITROS</t>
  </si>
  <si>
    <t xml:space="preserve">LICUADORA IMUSA DE 550 WATTS </t>
  </si>
  <si>
    <t>PITADORA UNIVERSAL DE 4 LB</t>
  </si>
  <si>
    <t>PITADORA UNIVERSAL DE 6 LB</t>
  </si>
  <si>
    <t>LUBRICANTE ENERMAX 2T</t>
  </si>
  <si>
    <t xml:space="preserve">ROCOLA GRIS </t>
  </si>
  <si>
    <t>WAFLERA HOME ELEMENTS</t>
  </si>
  <si>
    <t>CAFETERA KALLEY DE 1.25 LT 750W</t>
  </si>
  <si>
    <t xml:space="preserve">MINI PICADORA OSTER </t>
  </si>
  <si>
    <t xml:space="preserve">RELOJES X2 SPORT </t>
  </si>
  <si>
    <t>DIADEMAS MUSIC BS-N65BT</t>
  </si>
  <si>
    <t>MAQUINA DE PELUQUEAR PROFESIONAL WAHL</t>
  </si>
  <si>
    <t>CORTADORA DE PELO VGR V-276</t>
  </si>
  <si>
    <t>CORTADORA DE PELO VGR V-071</t>
  </si>
  <si>
    <t>TARRAJA TRUPER</t>
  </si>
  <si>
    <t xml:space="preserve">LAMPARA SOLAR SKY LIGHT </t>
  </si>
  <si>
    <t>ESMERIL RECTO INDUSTRIAL TRUPER</t>
  </si>
  <si>
    <t>CINCEL PLANO DE PUNTA TRUPER</t>
  </si>
  <si>
    <t>CANDADO PARA MOTOS</t>
  </si>
  <si>
    <t xml:space="preserve">LENTES DEPORTIVOS </t>
  </si>
  <si>
    <t>REGULADOR AUTOMATICO DE VOLTAJE UNITEC 990 VA</t>
  </si>
  <si>
    <t xml:space="preserve">BASE REFRIGERANTE PARA PORTATIL WIT </t>
  </si>
  <si>
    <t>CANDADO DRIMEX 20MM</t>
  </si>
  <si>
    <t>CANDADO DRIMEX 25MM</t>
  </si>
  <si>
    <t>MICROFONO INALAMBRICO KALLEY</t>
  </si>
  <si>
    <t>CANDADO DRIMEX 30MM</t>
  </si>
  <si>
    <t>TOMA CORRIENTES X8 BRICKELL</t>
  </si>
  <si>
    <t xml:space="preserve">FAJA SMART FITNESS EMS </t>
  </si>
  <si>
    <t>LAMPARA LED DALIZ DE 200W</t>
  </si>
  <si>
    <t>PESA PERSONAL NEKAR</t>
  </si>
  <si>
    <t>CUCHILLO DE COMBATE</t>
  </si>
  <si>
    <t>NAVAJA EN FORMA DE PISTOLA</t>
  </si>
  <si>
    <t>NAVAJA 2856</t>
  </si>
  <si>
    <t>ENCENDEDORES METEORO</t>
  </si>
  <si>
    <t>GAS PORTABLE HANDY STOVE</t>
  </si>
  <si>
    <t>GAS PARA ENCENDEDORES</t>
  </si>
  <si>
    <t>BANANAS</t>
  </si>
  <si>
    <t>ENCEDEDOR LIGHT MIL</t>
  </si>
  <si>
    <t xml:space="preserve">MINI HUMODIFICADOR </t>
  </si>
  <si>
    <t>ENCENDEDOR DE GAS METEORO</t>
  </si>
  <si>
    <t>SECADOR DE PELO Y VOLUMINIZADOR</t>
  </si>
  <si>
    <t xml:space="preserve">DVD NIA </t>
  </si>
  <si>
    <t>DVD ZULUS TECNOLOGY</t>
  </si>
  <si>
    <t>CRISPETERA UNIVERSAL ROYAL</t>
  </si>
  <si>
    <t>MAQUINA DE HACER PASABOCAS</t>
  </si>
  <si>
    <t>DECODIFICADORES NIA</t>
  </si>
  <si>
    <t xml:space="preserve">BASCULA DE COCINA </t>
  </si>
  <si>
    <t xml:space="preserve">RADIO NNS DE CARGA SOLAR </t>
  </si>
  <si>
    <t>LINTERNA SKY LIGHT 1 WATT</t>
  </si>
  <si>
    <t>FOCO LED DE 9W PROBELCO</t>
  </si>
  <si>
    <t>CONTROL ANALOGICO MARTECH</t>
  </si>
  <si>
    <t>LINTERNA NANO TEC 9WATT</t>
  </si>
  <si>
    <t>LINTERNA RECARGABLE ILUMATIC</t>
  </si>
  <si>
    <t>LINTERNA PARA CICLISMO</t>
  </si>
  <si>
    <t>LINTERNA NANO TEC 3WATT</t>
  </si>
  <si>
    <t>LINTERNA MINERA RECARGABLE</t>
  </si>
  <si>
    <t>CUCHILLO ELECTRICO HAMILTON BEACH</t>
  </si>
  <si>
    <t>GRAMERA DE 600g</t>
  </si>
  <si>
    <t>DIADEMAS GAMEING MODEL RX100</t>
  </si>
  <si>
    <t xml:space="preserve">MICROFONO KARAOKE SMART </t>
  </si>
  <si>
    <t>ESTUFA PORTATIL</t>
  </si>
  <si>
    <t>BINOCULARES BUSHNELL</t>
  </si>
  <si>
    <t>LAMPARA LED DALIZ 50W</t>
  </si>
  <si>
    <t>REGULADOR AUTOMATICO DE VOLTAJE</t>
  </si>
  <si>
    <t>CUCHILLA REPUESTO WAHL</t>
  </si>
  <si>
    <t>RADIO NANO TEC DE BOLSILLO</t>
  </si>
  <si>
    <t>BOMBILLO LED CON ALTAVOZ BLUETOOTH</t>
  </si>
  <si>
    <t>BOMBILLO LED PLEGABLE</t>
  </si>
  <si>
    <t>CAMARA WI FI</t>
  </si>
  <si>
    <t>BOMBILLO LED TIPO ELICE DE 40 WATT</t>
  </si>
  <si>
    <t>BOMBILLO LED TIPO ELICE DE 50 WATT</t>
  </si>
  <si>
    <t>RECEPTOR DE TV DIGITAL PARA ANDROID</t>
  </si>
  <si>
    <t>TARJETA DE MEMORIA DE 8MB PARA PS2</t>
  </si>
  <si>
    <t>ADAPTADOR DE CORRIENTE PARA PORTÁTILES</t>
  </si>
  <si>
    <t xml:space="preserve">KIT CARGA Y JUEGA </t>
  </si>
  <si>
    <t xml:space="preserve">BOMBILLO ROCOLA </t>
  </si>
  <si>
    <t>RADIO NANO TEC</t>
  </si>
  <si>
    <t xml:space="preserve">RADIO NNS </t>
  </si>
  <si>
    <t>RADIO MARTECH</t>
  </si>
  <si>
    <t>RADIO SONIVOX</t>
  </si>
  <si>
    <t>RADIO SONY</t>
  </si>
  <si>
    <t xml:space="preserve">ARMARIO DE 3 CUERPOS </t>
  </si>
  <si>
    <t xml:space="preserve">PITADORA CORONA DE 6 LIBRAS </t>
  </si>
  <si>
    <t>BASE PARA TELEVISOR HOME DESING HASTA 55''</t>
  </si>
  <si>
    <t>BASE PARA TELEVISOR NIA P5 HASTA 75''</t>
  </si>
  <si>
    <t>PLANCHA OSTER</t>
  </si>
  <si>
    <t>EXPRIMIDOR DE NARANJAS KALLEY DE 1LT 30W</t>
  </si>
  <si>
    <t>CAFETERA KALLEY</t>
  </si>
  <si>
    <t xml:space="preserve">MOLINO CORONA </t>
  </si>
  <si>
    <t>SANDWICHERA OLIMPO</t>
  </si>
  <si>
    <t>TV PANASONIC DE 32''</t>
  </si>
  <si>
    <t>TV SMART VISION DE 24''</t>
  </si>
  <si>
    <t>EQUIPO DE SONIDO PANASONIC 3 BAFLES</t>
  </si>
  <si>
    <t>CABINA NIATEC</t>
  </si>
  <si>
    <t>CABINA AMPLIFICADA TESLA 4500W</t>
  </si>
  <si>
    <t>HORNO DE 3 LATAS</t>
  </si>
  <si>
    <t>HORNO DE 4 LATAS</t>
  </si>
  <si>
    <t xml:space="preserve">ROTO MARTILLO DEWART </t>
  </si>
  <si>
    <t>ROTO MARTILLO MAKITA</t>
  </si>
  <si>
    <t>PULIDORA PESADA TRUPER</t>
  </si>
  <si>
    <t>CALADORA TRUPER</t>
  </si>
  <si>
    <t>CIERRA CIRCULAR SKILL SAW</t>
  </si>
  <si>
    <t>BOMBA DE ESPALDA F768</t>
  </si>
  <si>
    <t>FONDO No 38</t>
  </si>
  <si>
    <t>FONDO No 40</t>
  </si>
  <si>
    <t xml:space="preserve">GENERADOR DE ENERGIA </t>
  </si>
  <si>
    <t>PESA DE 600KL</t>
  </si>
  <si>
    <t>PESA DE 200KL</t>
  </si>
  <si>
    <t>DYNAMO PARA MAQUINA DE DESPULPAR DE 2 CHORROS 1/2</t>
  </si>
  <si>
    <t>MAQUINA DE DESPULPAR PENAGOS 2 CHORROS 1/2</t>
  </si>
  <si>
    <t>MOLINO ELECTRICO</t>
  </si>
  <si>
    <t>ESTUFA HACEB CON HORNO</t>
  </si>
  <si>
    <t xml:space="preserve">ESTUFA INDUSTRIAL DOS PUESTOS </t>
  </si>
  <si>
    <t>LAVADORA INDUCOL DE DOBLE TINA</t>
  </si>
  <si>
    <t xml:space="preserve">LAVADORA KALLEY DE DOBLE TINA </t>
  </si>
  <si>
    <t>LAVADORA SAMSUNG DE 29 LIBRAS</t>
  </si>
  <si>
    <t xml:space="preserve">LAVADORA LG DE 42 LIBRAS </t>
  </si>
  <si>
    <t>NEVERA MABE DOBLE PUERTA</t>
  </si>
  <si>
    <t xml:space="preserve">NEVERA HACEB DOBLE PUERTA </t>
  </si>
  <si>
    <t>NEVERA MABE DE 220LT</t>
  </si>
  <si>
    <t>NEVERA HACEB DE 220LT</t>
  </si>
  <si>
    <t>ESTUFA DE ENERGIA DE 1 PUESTO HOME ELEMENTS</t>
  </si>
  <si>
    <t>ESTUFA DE EMPOTRAR CONTINENTAL</t>
  </si>
  <si>
    <t>CAMAS DECO NORMAL</t>
  </si>
  <si>
    <t xml:space="preserve">CAMAS DECO ALTA </t>
  </si>
  <si>
    <t>ARMARIO JUMBO</t>
  </si>
  <si>
    <t xml:space="preserve">GABINETE </t>
  </si>
  <si>
    <t xml:space="preserve">BIFE </t>
  </si>
  <si>
    <t>SILLON</t>
  </si>
  <si>
    <t>JUEGO DE SALA EN L</t>
  </si>
  <si>
    <t>ARMARIO DE MIMBRE</t>
  </si>
  <si>
    <t>ESTUFA DE 4 PUESTOS CONTINENTAL</t>
  </si>
  <si>
    <t>ESTUFA DE 2 PUESTOS ABBA</t>
  </si>
  <si>
    <t xml:space="preserve">CREDITO </t>
  </si>
  <si>
    <t xml:space="preserve">CONTADO </t>
  </si>
  <si>
    <t>STOCK</t>
  </si>
  <si>
    <t xml:space="preserve">PRODUCTO </t>
  </si>
  <si>
    <t>CODIGO</t>
  </si>
  <si>
    <t>OLLA AROCERA No 34</t>
  </si>
  <si>
    <t>OLLA AROCERA No 32</t>
  </si>
  <si>
    <t>OLLA AROCERA No 36</t>
  </si>
  <si>
    <t>AROCERA No 24</t>
  </si>
  <si>
    <t>PONCHERA HOGAR PLAS</t>
  </si>
  <si>
    <t>CORTINA FLECO GRUESO 2010</t>
  </si>
  <si>
    <t xml:space="preserve">COBIJAS TERMICAS </t>
  </si>
  <si>
    <t>JUEGO DE CAMA DOBLE DULCES SUEÑOS</t>
  </si>
  <si>
    <t>JUEGO DE SABANAS + CORTINA PLUMABELA</t>
  </si>
  <si>
    <t>JUEGO DE SABANA + CORTINA MY HOUSE</t>
  </si>
  <si>
    <t>TAPETES</t>
  </si>
  <si>
    <t>CUBRELECHO SENCILLO</t>
  </si>
  <si>
    <t>CUBRELECHO FINO</t>
  </si>
  <si>
    <t>CUBRELECHO TERMO SELLADO</t>
  </si>
  <si>
    <t>CUBRELECHO TERMO SELLADO AZZORTI</t>
  </si>
  <si>
    <t>COBIJAS TERMICAS CASA BOLIVIA</t>
  </si>
  <si>
    <t>COBIJAS PLUMA DE PATO</t>
  </si>
  <si>
    <t>COBIJA CANALADA</t>
  </si>
  <si>
    <t>COBIJA SUAVE DE COLORES</t>
  </si>
  <si>
    <t>COBIJA OVEJERA</t>
  </si>
  <si>
    <t>LIMPIONES</t>
  </si>
  <si>
    <t>TOLDILLOS</t>
  </si>
  <si>
    <t>CORTINAS DE BAÑO EN TELA</t>
  </si>
  <si>
    <t>CORTINAS DE BAÑO EN PLASTICO</t>
  </si>
  <si>
    <t>PROTECTOR DE COLCHON</t>
  </si>
  <si>
    <t>DELANTALES EN CUEROTEX</t>
  </si>
  <si>
    <t>DELANTAL SENCILLO</t>
  </si>
  <si>
    <t>CONJUNTO IMPERMEABLE</t>
  </si>
  <si>
    <t>CARPA IMPERMEABLE</t>
  </si>
  <si>
    <t>FORRO PARA LAVADORA</t>
  </si>
  <si>
    <t>RAQUETA ELECTRICA MATA MOSCAS</t>
  </si>
  <si>
    <t>SOMBRILLAS PORTABLES</t>
  </si>
  <si>
    <t>SOMBRILLAS</t>
  </si>
  <si>
    <t>SOMBRILLA GRANDE</t>
  </si>
  <si>
    <t>COLCHONETA DE 120CM</t>
  </si>
  <si>
    <t>COLCHONETA DE 1M</t>
  </si>
  <si>
    <t>COLCHONETA DE 140CM</t>
  </si>
  <si>
    <t>COLCHON ANATOMICO DE 1M SOPLACOM</t>
  </si>
  <si>
    <t>COLCHON ANATOMICO DE 120CM ESPUMA DEL VALLE</t>
  </si>
  <si>
    <t>TABLEROS PARA BASE CAMA</t>
  </si>
  <si>
    <t>COLCHONETA DE CAMPING</t>
  </si>
  <si>
    <t>PLATO CUADRADO BORDE No P1001</t>
  </si>
  <si>
    <t>PLATO REDONDO NIÑO TRES COMPARTIMIENTOS P1056</t>
  </si>
  <si>
    <t>PLATO OVALADO CON BORDE PLANO P1023</t>
  </si>
  <si>
    <t>BANDEJA BANANA SPLIT W1024</t>
  </si>
  <si>
    <t>PLATO SOPERO PEQUEÑO NIÑO W1037</t>
  </si>
  <si>
    <t>ENSALADERA PEQUEÑA CON ASAS Y TAPA W1040</t>
  </si>
  <si>
    <t>TAZA CONSOME CON ASAS W1018</t>
  </si>
  <si>
    <t xml:space="preserve">CANASTILLA CON TAPA </t>
  </si>
  <si>
    <t xml:space="preserve">  </t>
  </si>
  <si>
    <t xml:space="preserve">PORTATIL ASUS E410M </t>
  </si>
  <si>
    <t>OLLA ARROCERA No 18</t>
  </si>
  <si>
    <t>OLLA ARROCERA No 20</t>
  </si>
  <si>
    <t>OLLA ARROCERA No 24</t>
  </si>
  <si>
    <t>JUEGO DE OLLAS DE ALUMINIO KOAL ARROCERA DEL No 18 - 26</t>
  </si>
  <si>
    <t>JUEGO DE OLLAS DE ALUMINIO KOAL TIPO BUFET DEL No 18 - 36</t>
  </si>
  <si>
    <t>OLLA ARROCERA No 26</t>
  </si>
  <si>
    <t>OLLA ARROCERA No 32</t>
  </si>
  <si>
    <t>OLLA ARROCERA No 36</t>
  </si>
  <si>
    <t>OLLA JOAL DE ALUMINIO TIPO BUFET  No 18</t>
  </si>
  <si>
    <t>OLLA JOAL DE ALUMINIO TIPO BUFET No 24</t>
  </si>
  <si>
    <t>OLLA JOAL DE ALUMINIO TIPO BUFET No 22</t>
  </si>
  <si>
    <t>OLLA JOAL DE ALUMINIO TIPO BUFET No 20</t>
  </si>
  <si>
    <t>OLLA JOAL DE ALUMINIO TIPO BUFET No 26</t>
  </si>
  <si>
    <t>ARMARIO DE 3 CUERPOS SIN CAJONERA ARRIBA</t>
  </si>
  <si>
    <t xml:space="preserve">ARMARIO DE 2 CUERPOS </t>
  </si>
  <si>
    <t xml:space="preserve">TELEVISOR CHALLENGER 43' SMART TV </t>
  </si>
  <si>
    <t>TELEVISOR CHALLENGER 32' SMART TV ANDROID</t>
  </si>
  <si>
    <t xml:space="preserve">ESPEJOS </t>
  </si>
  <si>
    <t xml:space="preserve">RELOJ DIGITAL SPORT </t>
  </si>
  <si>
    <t>RELOJ DIGITAL SPORTS DE 60K</t>
  </si>
  <si>
    <t>RELOJ DIGITAL DE 35K</t>
  </si>
  <si>
    <t>RELOJ ANALOGO Q&amp;Q</t>
  </si>
  <si>
    <t>RELOJ ANALOGO Q&amp;Q DE 95K</t>
  </si>
  <si>
    <t xml:space="preserve">RELOJ ANALOGO DORADO </t>
  </si>
  <si>
    <t>RELOJ DIGITAL DE 50K NEGRO SPORTS</t>
  </si>
  <si>
    <t>RELOJ DIGITAL G-SHOCK ROJO GRIS</t>
  </si>
  <si>
    <t xml:space="preserve">VASO DE LUJO DE 10 ONZAS </t>
  </si>
  <si>
    <t>VASO CIRCULAR LISO B1011</t>
  </si>
  <si>
    <t>VASO LISO SABANA No B1003</t>
  </si>
  <si>
    <t xml:space="preserve">CERNIDOR DE ALUMINIO </t>
  </si>
  <si>
    <t>CABLE HDMI DE 10 MT</t>
  </si>
  <si>
    <t>OLLA ARROCERA No 16</t>
  </si>
  <si>
    <t>JARRA PARA JUGO PEQUEÑA</t>
  </si>
  <si>
    <t>BATERIA PARA PESA DE 40 KL</t>
  </si>
  <si>
    <t xml:space="preserve">PLANCHA A VAPOR KALLEY DE 1000W </t>
  </si>
  <si>
    <t>PRODUCTO</t>
  </si>
  <si>
    <t>CANTIDAD</t>
  </si>
  <si>
    <t>ENTRADAS</t>
  </si>
  <si>
    <t>SALIDAS</t>
  </si>
  <si>
    <t xml:space="preserve">FECHA </t>
  </si>
  <si>
    <t xml:space="preserve">CANTIDAD </t>
  </si>
  <si>
    <t>TOTAL VENTA</t>
  </si>
  <si>
    <t>PRECIO DE VENTA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</si>
</sst>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44" formatCode="_-&quot;$&quot;\ * #,##0.00_-;\-&quot;$&quot;\ * #,##0.00_-;_-&quot;$&quot;\ * &quot;-&quot;??_-;_-@_-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Arial"/>
      <family val="2"/>
    </font>
    <font>
      <b/>
      <sz val="20"/>
      <color theme="1"/>
      <name val="Arial Black"/>
      <family val="2"/>
    </font>
    <font>
      <sz val="20"/>
      <color theme="1"/>
      <name val="Arial Black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2" borderId="0" xfId="0" applyFill="1" applyAlignment="1"/>
    <xf numFmtId="0" fontId="0" fillId="2" borderId="0" xfId="0" applyFill="1"/>
    <xf numFmtId="0" fontId="6" fillId="0" borderId="0" xfId="0" applyFont="1"/>
    <xf numFmtId="0" fontId="7" fillId="0" borderId="0" xfId="0" applyFont="1" applyBorder="1" applyAlignment="1"/>
    <xf numFmtId="0" fontId="6" fillId="0" borderId="0" xfId="0" applyFont="1" applyAlignment="1">
      <alignment horizontal="left"/>
    </xf>
    <xf numFmtId="0" fontId="7" fillId="0" borderId="0" xfId="0" applyFont="1"/>
    <xf numFmtId="0" fontId="7" fillId="0" borderId="1" xfId="0" applyFont="1" applyBorder="1"/>
    <xf numFmtId="0" fontId="7" fillId="0" borderId="0" xfId="0" applyFont="1" applyBorder="1"/>
    <xf numFmtId="0" fontId="7" fillId="0" borderId="0" xfId="0" applyFont="1" applyAlignment="1"/>
    <xf numFmtId="0" fontId="6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0" fillId="0" borderId="0" xfId="0" applyFill="1"/>
    <xf numFmtId="0" fontId="2" fillId="3" borderId="0" xfId="0" applyFont="1" applyFill="1"/>
    <xf numFmtId="0" fontId="0" fillId="0" borderId="1" xfId="0" applyBorder="1" applyAlignment="1">
      <alignment horizontal="center"/>
    </xf>
    <xf numFmtId="42" fontId="0" fillId="0" borderId="2" xfId="0" applyNumberFormat="1" applyBorder="1"/>
    <xf numFmtId="42" fontId="0" fillId="0" borderId="3" xfId="0" applyNumberFormat="1" applyBorder="1"/>
    <xf numFmtId="0" fontId="0" fillId="0" borderId="3" xfId="0" applyBorder="1" applyAlignment="1">
      <alignment horizontal="center"/>
    </xf>
    <xf numFmtId="0" fontId="0" fillId="0" borderId="3" xfId="0" applyBorder="1"/>
    <xf numFmtId="42" fontId="0" fillId="0" borderId="5" xfId="0" applyNumberFormat="1" applyBorder="1" applyAlignment="1">
      <alignment horizontal="center"/>
    </xf>
    <xf numFmtId="42" fontId="0" fillId="0" borderId="1" xfId="0" applyNumberFormat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2" fillId="0" borderId="0" xfId="0" applyNumberFormat="1" applyFont="1"/>
    <xf numFmtId="42" fontId="0" fillId="0" borderId="1" xfId="2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44" fontId="7" fillId="0" borderId="1" xfId="2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42" fontId="7" fillId="0" borderId="1" xfId="2" applyNumberFormat="1" applyFont="1" applyBorder="1" applyAlignment="1">
      <alignment horizontal="center"/>
    </xf>
    <xf numFmtId="2" fontId="2" fillId="0" borderId="0" xfId="0" applyNumberFormat="1" applyFont="1"/>
    <xf numFmtId="2" fontId="2" fillId="3" borderId="0" xfId="0" applyNumberFormat="1" applyFont="1" applyFill="1"/>
    <xf numFmtId="0" fontId="0" fillId="0" borderId="4" xfId="1" applyNumberFormat="1" applyFont="1" applyBorder="1" applyAlignment="1">
      <alignment horizontal="center"/>
    </xf>
    <xf numFmtId="0" fontId="0" fillId="0" borderId="4" xfId="0" applyNumberFormat="1" applyBorder="1" applyAlignment="1">
      <alignment horizontal="center"/>
    </xf>
    <xf numFmtId="0" fontId="2" fillId="0" borderId="0" xfId="0" applyFont="1"/>
    <xf numFmtId="0" fontId="10" fillId="0" borderId="0" xfId="0" applyFont="1"/>
    <xf numFmtId="44" fontId="7" fillId="0" borderId="1" xfId="0" applyNumberFormat="1" applyFont="1" applyBorder="1"/>
    <xf numFmtId="42" fontId="7" fillId="0" borderId="1" xfId="0" applyNumberFormat="1" applyFont="1" applyBorder="1"/>
    <xf numFmtId="42" fontId="7" fillId="0" borderId="1" xfId="0" applyNumberFormat="1" applyFont="1" applyBorder="1" applyAlignment="1">
      <alignment horizontal="center"/>
    </xf>
    <xf numFmtId="0" fontId="10" fillId="3" borderId="0" xfId="0" applyFont="1" applyFill="1"/>
    <xf numFmtId="0" fontId="7" fillId="0" borderId="1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9" xfId="0" applyBorder="1" applyAlignment="1">
      <alignment horizontal="center"/>
    </xf>
    <xf numFmtId="42" fontId="0" fillId="0" borderId="2" xfId="2" applyNumberFormat="1" applyFont="1" applyBorder="1" applyAlignment="1">
      <alignment horizontal="center"/>
    </xf>
    <xf numFmtId="42" fontId="0" fillId="0" borderId="2" xfId="0" applyNumberFormat="1" applyBorder="1" applyAlignment="1">
      <alignment horizontal="center"/>
    </xf>
  </cellXfs>
  <cellStyles count="3">
    <cellStyle name="Moneda" xfId="2" builtinId="4"/>
    <cellStyle name="Normal" xfId="0" builtinId="0"/>
    <cellStyle name="Porcentaje" xfId="1" builtinId="5"/>
  </cellStyles>
  <dxfs count="35"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32" formatCode="_-&quot;$&quot;\ * #,##0_-;\-&quot;$&quot;\ * #,##0_-;_-&quot;$&quot;\ * &quot;-&quot;_-;_-@_-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2" formatCode="_-&quot;$&quot;\ * #,##0_-;\-&quot;$&quot;\ * #,##0_-;_-&quot;$&quot;\ * &quot;-&quot;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32" formatCode="_-&quot;$&quot;\ * #,##0_-;\-&quot;$&quot;\ * #,##0_-;_-&quot;$&quot;\ * &quot;-&quot;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110289</xdr:colOff>
      <xdr:row>6</xdr:row>
      <xdr:rowOff>170447</xdr:rowOff>
    </xdr:from>
    <xdr:to>
      <xdr:col>9</xdr:col>
      <xdr:colOff>338889</xdr:colOff>
      <xdr:row>8</xdr:row>
      <xdr:rowOff>8021</xdr:rowOff>
    </xdr:to>
    <xdr:pic macro="[0]!llamar_formularioclientes">
      <xdr:nvPicPr>
        <xdr:cNvPr id="5" name="Imagen 4">
          <a:extLst>
            <a:ext uri="{FF2B5EF4-FFF2-40B4-BE49-F238E27FC236}">
              <a16:creationId xmlns:a16="http://schemas.microsoft.com/office/drawing/2014/main" id="{B32F53D9-7EDA-419F-A206-45F78F23D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22105" y="152400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11</xdr:col>
      <xdr:colOff>1</xdr:colOff>
      <xdr:row>15</xdr:row>
      <xdr:rowOff>10026</xdr:rowOff>
    </xdr:from>
    <xdr:to>
      <xdr:col>12</xdr:col>
      <xdr:colOff>1099798</xdr:colOff>
      <xdr:row>17</xdr:row>
      <xdr:rowOff>66213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171E8B5-BAD8-4A1B-9E52-C785A39D0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88054" y="3158289"/>
          <a:ext cx="1280271" cy="457240"/>
        </a:xfrm>
        <a:prstGeom prst="rect">
          <a:avLst/>
        </a:prstGeom>
      </xdr:spPr>
    </xdr:pic>
    <xdr:clientData/>
  </xdr:twoCellAnchor>
  <xdr:twoCellAnchor>
    <xdr:from>
      <xdr:col>11</xdr:col>
      <xdr:colOff>10026</xdr:colOff>
      <xdr:row>17</xdr:row>
      <xdr:rowOff>200524</xdr:rowOff>
    </xdr:from>
    <xdr:to>
      <xdr:col>12</xdr:col>
      <xdr:colOff>1092868</xdr:colOff>
      <xdr:row>20</xdr:row>
      <xdr:rowOff>48625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254A7B39-4032-4A65-BE2F-CF035DD5E572}"/>
            </a:ext>
          </a:extLst>
        </xdr:cNvPr>
        <xdr:cNvSpPr/>
      </xdr:nvSpPr>
      <xdr:spPr>
        <a:xfrm>
          <a:off x="10698079" y="3749840"/>
          <a:ext cx="1263315" cy="4496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NUEVO</a:t>
          </a:r>
        </a:p>
      </xdr:txBody>
    </xdr:sp>
    <xdr:clientData/>
  </xdr:twoCellAnchor>
  <xdr:twoCellAnchor editAs="oneCell">
    <xdr:from>
      <xdr:col>9</xdr:col>
      <xdr:colOff>120315</xdr:colOff>
      <xdr:row>8</xdr:row>
      <xdr:rowOff>180474</xdr:rowOff>
    </xdr:from>
    <xdr:to>
      <xdr:col>9</xdr:col>
      <xdr:colOff>348915</xdr:colOff>
      <xdr:row>10</xdr:row>
      <xdr:rowOff>8021</xdr:rowOff>
    </xdr:to>
    <xdr:pic macro="[0]!llamar_formularioproductos">
      <xdr:nvPicPr>
        <xdr:cNvPr id="3" name="Imagen 2">
          <a:extLst>
            <a:ext uri="{FF2B5EF4-FFF2-40B4-BE49-F238E27FC236}">
              <a16:creationId xmlns:a16="http://schemas.microsoft.com/office/drawing/2014/main" id="{FECFE616-DB2D-4CEE-85FD-D55E8A680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5999" y="1925053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9</xdr:col>
      <xdr:colOff>120316</xdr:colOff>
      <xdr:row>9</xdr:row>
      <xdr:rowOff>190500</xdr:rowOff>
    </xdr:from>
    <xdr:to>
      <xdr:col>9</xdr:col>
      <xdr:colOff>348916</xdr:colOff>
      <xdr:row>11</xdr:row>
      <xdr:rowOff>18047</xdr:rowOff>
    </xdr:to>
    <xdr:pic macro="[0]!llamar_formularioproductos2">
      <xdr:nvPicPr>
        <xdr:cNvPr id="4" name="Imagen 3">
          <a:extLst>
            <a:ext uri="{FF2B5EF4-FFF2-40B4-BE49-F238E27FC236}">
              <a16:creationId xmlns:a16="http://schemas.microsoft.com/office/drawing/2014/main" id="{15451576-FDB2-4F7C-89FD-8A44FD199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0" y="213560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9</xdr:col>
      <xdr:colOff>130341</xdr:colOff>
      <xdr:row>10</xdr:row>
      <xdr:rowOff>190500</xdr:rowOff>
    </xdr:from>
    <xdr:to>
      <xdr:col>9</xdr:col>
      <xdr:colOff>358941</xdr:colOff>
      <xdr:row>12</xdr:row>
      <xdr:rowOff>18048</xdr:rowOff>
    </xdr:to>
    <xdr:pic macro="[0]!llamar_formularioproductos3">
      <xdr:nvPicPr>
        <xdr:cNvPr id="8" name="Imagen 7">
          <a:extLst>
            <a:ext uri="{FF2B5EF4-FFF2-40B4-BE49-F238E27FC236}">
              <a16:creationId xmlns:a16="http://schemas.microsoft.com/office/drawing/2014/main" id="{E51715A6-A8ED-4B7B-8A42-C8256B523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6025" y="2336132"/>
          <a:ext cx="228600" cy="228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85725</xdr:colOff>
      <xdr:row>6</xdr:row>
      <xdr:rowOff>171450</xdr:rowOff>
    </xdr:from>
    <xdr:to>
      <xdr:col>8</xdr:col>
      <xdr:colOff>314325</xdr:colOff>
      <xdr:row>8</xdr:row>
      <xdr:rowOff>9525</xdr:rowOff>
    </xdr:to>
    <xdr:pic macro="[0]!llamar_formulario_clientescontado">
      <xdr:nvPicPr>
        <xdr:cNvPr id="3" name="Imagen 2">
          <a:extLst>
            <a:ext uri="{FF2B5EF4-FFF2-40B4-BE49-F238E27FC236}">
              <a16:creationId xmlns:a16="http://schemas.microsoft.com/office/drawing/2014/main" id="{9468D4F0-DC73-488D-AADA-02849F2FA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53325" y="1524000"/>
          <a:ext cx="228600" cy="228600"/>
        </a:xfrm>
        <a:prstGeom prst="rect">
          <a:avLst/>
        </a:prstGeom>
      </xdr:spPr>
    </xdr:pic>
    <xdr:clientData/>
  </xdr:twoCellAnchor>
  <xdr:twoCellAnchor>
    <xdr:from>
      <xdr:col>8</xdr:col>
      <xdr:colOff>428625</xdr:colOff>
      <xdr:row>14</xdr:row>
      <xdr:rowOff>9525</xdr:rowOff>
    </xdr:from>
    <xdr:to>
      <xdr:col>11</xdr:col>
      <xdr:colOff>615616</xdr:colOff>
      <xdr:row>16</xdr:row>
      <xdr:rowOff>49630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042A7D5-8580-47B0-83BB-BA3A105D92D8}"/>
            </a:ext>
          </a:extLst>
        </xdr:cNvPr>
        <xdr:cNvSpPr/>
      </xdr:nvSpPr>
      <xdr:spPr>
        <a:xfrm>
          <a:off x="7896225" y="2886075"/>
          <a:ext cx="1263316" cy="42110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GUARDAR</a:t>
          </a:r>
        </a:p>
      </xdr:txBody>
    </xdr:sp>
    <xdr:clientData/>
  </xdr:twoCellAnchor>
  <xdr:twoCellAnchor>
    <xdr:from>
      <xdr:col>8</xdr:col>
      <xdr:colOff>428625</xdr:colOff>
      <xdr:row>16</xdr:row>
      <xdr:rowOff>161925</xdr:rowOff>
    </xdr:from>
    <xdr:to>
      <xdr:col>11</xdr:col>
      <xdr:colOff>615616</xdr:colOff>
      <xdr:row>19</xdr:row>
      <xdr:rowOff>11530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18132FC6-448C-447B-9501-20A2F21C5A14}"/>
            </a:ext>
          </a:extLst>
        </xdr:cNvPr>
        <xdr:cNvSpPr/>
      </xdr:nvSpPr>
      <xdr:spPr>
        <a:xfrm>
          <a:off x="7896225" y="3419475"/>
          <a:ext cx="1263316" cy="42110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NUEVO</a:t>
          </a:r>
        </a:p>
      </xdr:txBody>
    </xdr:sp>
    <xdr:clientData/>
  </xdr:twoCellAnchor>
  <xdr:twoCellAnchor editAs="oneCell">
    <xdr:from>
      <xdr:col>8</xdr:col>
      <xdr:colOff>85725</xdr:colOff>
      <xdr:row>9</xdr:row>
      <xdr:rowOff>0</xdr:rowOff>
    </xdr:from>
    <xdr:to>
      <xdr:col>8</xdr:col>
      <xdr:colOff>314325</xdr:colOff>
      <xdr:row>10</xdr:row>
      <xdr:rowOff>28575</xdr:rowOff>
    </xdr:to>
    <xdr:pic macro="[0]!llamar_formulario_productoscontado1">
      <xdr:nvPicPr>
        <xdr:cNvPr id="6" name="Imagen 5">
          <a:extLst>
            <a:ext uri="{FF2B5EF4-FFF2-40B4-BE49-F238E27FC236}">
              <a16:creationId xmlns:a16="http://schemas.microsoft.com/office/drawing/2014/main" id="{12D532F6-E822-4325-AACB-3CEE20675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9050" y="194310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95250</xdr:colOff>
      <xdr:row>10</xdr:row>
      <xdr:rowOff>9525</xdr:rowOff>
    </xdr:from>
    <xdr:to>
      <xdr:col>8</xdr:col>
      <xdr:colOff>323850</xdr:colOff>
      <xdr:row>11</xdr:row>
      <xdr:rowOff>38100</xdr:rowOff>
    </xdr:to>
    <xdr:pic macro="[0]!llamar_formulario_productocontado2">
      <xdr:nvPicPr>
        <xdr:cNvPr id="7" name="Imagen 6">
          <a:extLst>
            <a:ext uri="{FF2B5EF4-FFF2-40B4-BE49-F238E27FC236}">
              <a16:creationId xmlns:a16="http://schemas.microsoft.com/office/drawing/2014/main" id="{0A77F8D2-3F43-4DD0-A0C1-E0EF40F06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215265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8</xdr:col>
      <xdr:colOff>85725</xdr:colOff>
      <xdr:row>11</xdr:row>
      <xdr:rowOff>0</xdr:rowOff>
    </xdr:from>
    <xdr:to>
      <xdr:col>8</xdr:col>
      <xdr:colOff>314325</xdr:colOff>
      <xdr:row>12</xdr:row>
      <xdr:rowOff>28575</xdr:rowOff>
    </xdr:to>
    <xdr:pic macro="[0]!llamar_formulario_productoscontado3">
      <xdr:nvPicPr>
        <xdr:cNvPr id="8" name="Imagen 7">
          <a:extLst>
            <a:ext uri="{FF2B5EF4-FFF2-40B4-BE49-F238E27FC236}">
              <a16:creationId xmlns:a16="http://schemas.microsoft.com/office/drawing/2014/main" id="{034420DB-B6A7-4F0D-ACBD-DAC5BB19A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9050" y="234315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95250</xdr:colOff>
      <xdr:row>12</xdr:row>
      <xdr:rowOff>9525</xdr:rowOff>
    </xdr:from>
    <xdr:to>
      <xdr:col>8</xdr:col>
      <xdr:colOff>323850</xdr:colOff>
      <xdr:row>13</xdr:row>
      <xdr:rowOff>38100</xdr:rowOff>
    </xdr:to>
    <xdr:pic macro="[0]!llamar_formulario_productoscontado4">
      <xdr:nvPicPr>
        <xdr:cNvPr id="9" name="Imagen 8">
          <a:extLst>
            <a:ext uri="{FF2B5EF4-FFF2-40B4-BE49-F238E27FC236}">
              <a16:creationId xmlns:a16="http://schemas.microsoft.com/office/drawing/2014/main" id="{73EED9DD-C0FC-4ECD-89F9-500335592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2552700"/>
          <a:ext cx="228600" cy="2286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1E2D67-4DE1-4D3A-BE44-9A2B6288D2B9}" name="PRODUCTOS" displayName="PRODUCTOS" ref="A1:G395" totalsRowShown="0" headerRowDxfId="29" headerRowBorderDxfId="28" tableBorderDxfId="27" totalsRowBorderDxfId="26">
  <autoFilter ref="A1:G395" xr:uid="{49CF8574-BE32-4DF5-A2D9-9FDD481EE0D7}"/>
  <tableColumns count="7">
    <tableColumn id="1" xr3:uid="{740BB59C-9F92-4151-A7FB-AC45F5C8646B}" name="CODIGO" dataDxfId="21"/>
    <tableColumn id="2" xr3:uid="{130BDFC6-2317-4459-BFAE-901AC0E85C94}" name="PRODUCTO " dataDxfId="22"/>
    <tableColumn id="3" xr3:uid="{40BC3F0A-CF57-4B9E-A4D4-A7B9E290C333}" name="STOCK" dataDxfId="25"/>
    <tableColumn id="4" xr3:uid="{32E744A3-3314-423E-B9DF-9732E2BF9C64}" name="ENTRADAS" dataDxfId="12">
      <calculatedColumnFormula>SUMIF(ENTRADAS[[#All],[CODIGO]],PRODUCTOS[[#This Row],[CODIGO]],ENTRADAS[[#All],[CANTIDAD]])</calculatedColumnFormula>
    </tableColumn>
    <tableColumn id="5" xr3:uid="{2D3E7F82-2CA7-4C0C-9EBD-FF0A88D088A3}" name="SALIDAS" dataDxfId="0">
      <calculatedColumnFormula>SUMIF(SALIDAS[[#All],[CODIGO]],PRODUCTOS[[#This Row],[CODIGO]],SALIDAS[[#All],[CANTIDAD ]])</calculatedColumnFormula>
    </tableColumn>
    <tableColumn id="6" xr3:uid="{DE59193C-15C4-4CF7-BB78-BBC105946F23}" name="CONTADO " dataDxfId="24"/>
    <tableColumn id="7" xr3:uid="{88154236-2266-41D1-9EBB-0DF86C216076}" name="CREDITO " dataDxfId="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4CC592-02BA-4A37-8974-4A878CD82E21}" name="ENTRADAS" displayName="ENTRADAS" ref="A1:D2" totalsRowShown="0" headerRowDxfId="20" headerRowBorderDxfId="18" tableBorderDxfId="19" totalsRowBorderDxfId="17">
  <autoFilter ref="A1:D2" xr:uid="{CF4CC592-02BA-4A37-8974-4A878CD82E21}"/>
  <tableColumns count="4">
    <tableColumn id="1" xr3:uid="{D56562D7-0E48-49F8-871D-2DC2054DB678}" name="FECHA" dataDxfId="16"/>
    <tableColumn id="2" xr3:uid="{DEF98778-B8E1-4CFE-A533-930759A57AD6}" name="CODIGO" dataDxfId="15"/>
    <tableColumn id="3" xr3:uid="{089B9338-E879-4A27-B97D-A067D67D37CD}" name="PRODUCTO" dataDxfId="14">
      <calculatedColumnFormula>IFERROR(VLOOKUP(ENTRADAS[[#This Row],[CODIGO]],PRODUCTOS[],2,FALSE)," ")</calculatedColumnFormula>
    </tableColumn>
    <tableColumn id="4" xr3:uid="{347723EC-0D8A-4A67-B05C-23305C44D799}" name="CANTIDAD" dataDxf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A80B20-6AE3-4FF2-A13B-D6D776FE18DD}" name="SALIDAS" displayName="SALIDAS" ref="A1:F3" totalsRowShown="0" headerRowDxfId="11" dataDxfId="10" headerRowBorderDxfId="8" tableBorderDxfId="9" totalsRowBorderDxfId="7">
  <autoFilter ref="A1:F3" xr:uid="{2FA80B20-6AE3-4FF2-A13B-D6D776FE18DD}"/>
  <tableColumns count="6">
    <tableColumn id="1" xr3:uid="{761D22A4-3A28-461A-87B1-9F4E1BDA708F}" name="FECHA " dataDxfId="6"/>
    <tableColumn id="2" xr3:uid="{CB6D9ACE-9014-41CE-96D1-63CA7307F3AE}" name="CODIGO" dataDxfId="5"/>
    <tableColumn id="3" xr3:uid="{C6AB053E-86AC-418A-B70F-EE2C4AFFCEE3}" name="PRODUCTO" dataDxfId="4">
      <calculatedColumnFormula>IFERROR(VLOOKUP(SALIDAS[[#This Row],[CODIGO]],PRODUCTOS[],2,FALSE)," ")</calculatedColumnFormula>
    </tableColumn>
    <tableColumn id="4" xr3:uid="{11F81FB3-0033-45A7-BEAD-3FF8D1FA9F51}" name="CANTIDAD " dataDxfId="3"/>
    <tableColumn id="6" xr3:uid="{14261B2F-5964-48C1-B83C-E308FAE12A90}" name="PRECIO DE VENTA" dataDxfId="2" dataCellStyle="Moneda">
      <calculatedColumnFormula>VLOOKUP(SALIDAS[[#This Row],[CODIGO]],PRODUCTOS[],6,FALSE)</calculatedColumnFormula>
    </tableColumn>
    <tableColumn id="5" xr3:uid="{69BF1BFD-A538-480B-A840-A7F065CDA84D}" name="TOTAL VENTA" dataDxfId="1">
      <calculatedColumnFormula>SALIDAS[[#This Row],[PRECIO DE VENTA]]*SALIDAS[[#This Row],[CANTIDAD 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CD0008-544F-428B-B85D-44DCA959C132}" name="CLIENTES" displayName="CLIENTES" ref="B4:F9" totalsRowShown="0" headerRowDxfId="34">
  <autoFilter ref="B4:F9" xr:uid="{5CCD0008-544F-428B-B85D-44DCA959C132}"/>
  <tableColumns count="5">
    <tableColumn id="1" xr3:uid="{4B5F7D8F-C9C7-4816-A4E0-C5E59A0E4AAD}" name="CODIGO "/>
    <tableColumn id="2" xr3:uid="{16B33AC5-02F5-4626-9287-E0A8DE230618}" name="NOMBRES Y APELLIDOS" dataDxfId="33"/>
    <tableColumn id="3" xr3:uid="{F214E409-601E-4113-B92E-DED6B27A6464}" name="NUMERO DE CEDULA" dataDxfId="32"/>
    <tableColumn id="4" xr3:uid="{AA443430-15BB-496A-98AD-D53CE409E9DD}" name="DIRECCIÓN" dataDxfId="31"/>
    <tableColumn id="5" xr3:uid="{7D7A3345-6579-4ED7-84EB-12A5F0577978}" name="TELEFONO" dataDxfId="3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31592-1841-48C4-A84D-8403E1923E7F}">
  <sheetPr codeName="Hoja4"/>
  <dimension ref="A1:I395"/>
  <sheetViews>
    <sheetView tabSelected="1" workbookViewId="0">
      <selection activeCell="E3" sqref="E3"/>
    </sheetView>
  </sheetViews>
  <sheetFormatPr baseColWidth="10" defaultRowHeight="15" x14ac:dyDescent="0.25"/>
  <cols>
    <col min="2" max="2" width="57.85546875" bestFit="1" customWidth="1"/>
    <col min="4" max="5" width="12.7109375" customWidth="1"/>
    <col min="6" max="6" width="19.140625" customWidth="1"/>
    <col min="7" max="7" width="22.28515625" customWidth="1"/>
  </cols>
  <sheetData>
    <row r="1" spans="1:7" x14ac:dyDescent="0.25">
      <c r="A1" s="29" t="s">
        <v>345</v>
      </c>
      <c r="B1" s="28" t="s">
        <v>344</v>
      </c>
      <c r="C1" s="28" t="s">
        <v>343</v>
      </c>
      <c r="D1" s="28" t="s">
        <v>434</v>
      </c>
      <c r="E1" s="28" t="s">
        <v>435</v>
      </c>
      <c r="F1" s="28" t="s">
        <v>342</v>
      </c>
      <c r="G1" s="27" t="s">
        <v>341</v>
      </c>
    </row>
    <row r="2" spans="1:7" x14ac:dyDescent="0.25">
      <c r="A2" s="38">
        <v>1</v>
      </c>
      <c r="B2" s="2" t="s">
        <v>340</v>
      </c>
      <c r="C2" s="20">
        <v>2</v>
      </c>
      <c r="D2" s="20">
        <f>SUMIF(ENTRADAS[[#All],[CODIGO]],PRODUCTOS[[#This Row],[CODIGO]],ENTRADAS[[#All],[CANTIDAD]])</f>
        <v>2</v>
      </c>
      <c r="E2" s="20">
        <f>SUMIF(SALIDAS[[#All],[CODIGO]],PRODUCTOS[[#This Row],[CODIGO]],SALIDAS[[#All],[CANTIDAD ]])</f>
        <v>1</v>
      </c>
      <c r="F2" s="26">
        <v>85000</v>
      </c>
      <c r="G2" s="25">
        <v>95000</v>
      </c>
    </row>
    <row r="3" spans="1:7" x14ac:dyDescent="0.25">
      <c r="A3" s="39">
        <v>2</v>
      </c>
      <c r="B3" s="2" t="s">
        <v>339</v>
      </c>
      <c r="C3" s="20">
        <v>1</v>
      </c>
      <c r="D3" s="20">
        <f>SUMIF(ENTRADAS[[#All],[CODIGO]],PRODUCTOS[[#This Row],[CODIGO]],ENTRADAS[[#All],[CANTIDAD]])</f>
        <v>0</v>
      </c>
      <c r="E3" s="20">
        <f>SUMIF(SALIDAS[[#All],[CODIGO]],PRODUCTOS[[#This Row],[CODIGO]],SALIDAS[[#All],[CANTIDAD ]])</f>
        <v>3</v>
      </c>
      <c r="F3" s="26">
        <v>270000</v>
      </c>
      <c r="G3" s="25">
        <v>350000</v>
      </c>
    </row>
    <row r="4" spans="1:7" x14ac:dyDescent="0.25">
      <c r="A4" s="38">
        <v>3</v>
      </c>
      <c r="B4" s="2" t="s">
        <v>338</v>
      </c>
      <c r="C4" s="20">
        <v>0</v>
      </c>
      <c r="D4" s="20">
        <f>SUMIF(ENTRADAS[[#All],[CODIGO]],PRODUCTOS[[#This Row],[CODIGO]],ENTRADAS[[#All],[CANTIDAD]])</f>
        <v>0</v>
      </c>
      <c r="E4" s="20">
        <f>SUMIF(SALIDAS[[#All],[CODIGO]],PRODUCTOS[[#This Row],[CODIGO]],SALIDAS[[#All],[CANTIDAD ]])</f>
        <v>0</v>
      </c>
      <c r="F4" s="26">
        <v>130000</v>
      </c>
      <c r="G4" s="25">
        <v>170000</v>
      </c>
    </row>
    <row r="5" spans="1:7" x14ac:dyDescent="0.25">
      <c r="A5" s="38">
        <v>4</v>
      </c>
      <c r="B5" s="2" t="s">
        <v>337</v>
      </c>
      <c r="C5" s="20">
        <v>1</v>
      </c>
      <c r="D5" s="20">
        <f>SUMIF(ENTRADAS[[#All],[CODIGO]],PRODUCTOS[[#This Row],[CODIGO]],ENTRADAS[[#All],[CANTIDAD]])</f>
        <v>0</v>
      </c>
      <c r="E5" s="20">
        <f>SUMIF(SALIDAS[[#All],[CODIGO]],PRODUCTOS[[#This Row],[CODIGO]],SALIDAS[[#All],[CANTIDAD ]])</f>
        <v>0</v>
      </c>
      <c r="F5" s="26">
        <v>1970000</v>
      </c>
      <c r="G5" s="25">
        <v>2100000</v>
      </c>
    </row>
    <row r="6" spans="1:7" x14ac:dyDescent="0.25">
      <c r="A6" s="39">
        <v>5</v>
      </c>
      <c r="B6" s="2" t="s">
        <v>336</v>
      </c>
      <c r="C6" s="20">
        <v>1</v>
      </c>
      <c r="D6" s="20">
        <f>SUMIF(ENTRADAS[[#All],[CODIGO]],PRODUCTOS[[#This Row],[CODIGO]],ENTRADAS[[#All],[CANTIDAD]])</f>
        <v>0</v>
      </c>
      <c r="E6" s="20">
        <f>SUMIF(SALIDAS[[#All],[CODIGO]],PRODUCTOS[[#This Row],[CODIGO]],SALIDAS[[#All],[CANTIDAD ]])</f>
        <v>0</v>
      </c>
      <c r="F6" s="26">
        <v>650000</v>
      </c>
      <c r="G6" s="25">
        <v>750000</v>
      </c>
    </row>
    <row r="7" spans="1:7" x14ac:dyDescent="0.25">
      <c r="A7" s="38">
        <v>6</v>
      </c>
      <c r="B7" s="2" t="s">
        <v>335</v>
      </c>
      <c r="C7" s="20">
        <v>3</v>
      </c>
      <c r="D7" s="20">
        <f>SUMIF(ENTRADAS[[#All],[CODIGO]],PRODUCTOS[[#This Row],[CODIGO]],ENTRADAS[[#All],[CANTIDAD]])</f>
        <v>0</v>
      </c>
      <c r="E7" s="20">
        <f>SUMIF(SALIDAS[[#All],[CODIGO]],PRODUCTOS[[#This Row],[CODIGO]],SALIDAS[[#All],[CANTIDAD ]])</f>
        <v>0</v>
      </c>
      <c r="F7" s="26">
        <v>470000</v>
      </c>
      <c r="G7" s="25">
        <v>570000</v>
      </c>
    </row>
    <row r="8" spans="1:7" x14ac:dyDescent="0.25">
      <c r="A8" s="38">
        <v>7</v>
      </c>
      <c r="B8" s="2" t="s">
        <v>334</v>
      </c>
      <c r="C8" s="20">
        <v>1</v>
      </c>
      <c r="D8" s="20">
        <f>SUMIF(ENTRADAS[[#All],[CODIGO]],PRODUCTOS[[#This Row],[CODIGO]],ENTRADAS[[#All],[CANTIDAD]])</f>
        <v>0</v>
      </c>
      <c r="E8" s="20">
        <f>SUMIF(SALIDAS[[#All],[CODIGO]],PRODUCTOS[[#This Row],[CODIGO]],SALIDAS[[#All],[CANTIDAD ]])</f>
        <v>0</v>
      </c>
      <c r="F8" s="26">
        <v>490000</v>
      </c>
      <c r="G8" s="25">
        <v>590000</v>
      </c>
    </row>
    <row r="9" spans="1:7" x14ac:dyDescent="0.25">
      <c r="A9" s="39">
        <v>8</v>
      </c>
      <c r="B9" s="2" t="s">
        <v>333</v>
      </c>
      <c r="C9" s="20">
        <v>0</v>
      </c>
      <c r="D9" s="20">
        <f>SUMIF(ENTRADAS[[#All],[CODIGO]],PRODUCTOS[[#This Row],[CODIGO]],ENTRADAS[[#All],[CANTIDAD]])</f>
        <v>0</v>
      </c>
      <c r="E9" s="20">
        <f>SUMIF(SALIDAS[[#All],[CODIGO]],PRODUCTOS[[#This Row],[CODIGO]],SALIDAS[[#All],[CANTIDAD ]])</f>
        <v>0</v>
      </c>
      <c r="F9" s="26">
        <v>690000</v>
      </c>
      <c r="G9" s="25">
        <v>790000</v>
      </c>
    </row>
    <row r="10" spans="1:7" x14ac:dyDescent="0.25">
      <c r="A10" s="38">
        <v>9</v>
      </c>
      <c r="B10" s="2" t="s">
        <v>332</v>
      </c>
      <c r="C10" s="20">
        <v>2</v>
      </c>
      <c r="D10" s="20">
        <f>SUMIF(ENTRADAS[[#All],[CODIGO]],PRODUCTOS[[#This Row],[CODIGO]],ENTRADAS[[#All],[CANTIDAD]])</f>
        <v>0</v>
      </c>
      <c r="E10" s="20">
        <f>SUMIF(SALIDAS[[#All],[CODIGO]],PRODUCTOS[[#This Row],[CODIGO]],SALIDAS[[#All],[CANTIDAD ]])</f>
        <v>0</v>
      </c>
      <c r="F10" s="26">
        <v>450000</v>
      </c>
      <c r="G10" s="25">
        <v>550000</v>
      </c>
    </row>
    <row r="11" spans="1:7" x14ac:dyDescent="0.25">
      <c r="A11" s="38">
        <v>10</v>
      </c>
      <c r="B11" s="2" t="s">
        <v>331</v>
      </c>
      <c r="C11" s="20">
        <v>5</v>
      </c>
      <c r="D11" s="20">
        <f>SUMIF(ENTRADAS[[#All],[CODIGO]],PRODUCTOS[[#This Row],[CODIGO]],ENTRADAS[[#All],[CANTIDAD]])</f>
        <v>0</v>
      </c>
      <c r="E11" s="20">
        <f>SUMIF(SALIDAS[[#All],[CODIGO]],PRODUCTOS[[#This Row],[CODIGO]],SALIDAS[[#All],[CANTIDAD ]])</f>
        <v>0</v>
      </c>
      <c r="F11" s="26">
        <v>350000</v>
      </c>
      <c r="G11" s="25">
        <v>450000</v>
      </c>
    </row>
    <row r="12" spans="1:7" x14ac:dyDescent="0.25">
      <c r="A12" s="39">
        <v>11</v>
      </c>
      <c r="B12" s="2" t="s">
        <v>330</v>
      </c>
      <c r="C12" s="20">
        <v>1</v>
      </c>
      <c r="D12" s="20">
        <f>SUMIF(ENTRADAS[[#All],[CODIGO]],PRODUCTOS[[#This Row],[CODIGO]],ENTRADAS[[#All],[CANTIDAD]])</f>
        <v>0</v>
      </c>
      <c r="E12" s="20">
        <f>SUMIF(SALIDAS[[#All],[CODIGO]],PRODUCTOS[[#This Row],[CODIGO]],SALIDAS[[#All],[CANTIDAD ]])</f>
        <v>0</v>
      </c>
      <c r="F12" s="26">
        <v>580000</v>
      </c>
      <c r="G12" s="25">
        <v>680000</v>
      </c>
    </row>
    <row r="13" spans="1:7" x14ac:dyDescent="0.25">
      <c r="A13" s="38">
        <v>12</v>
      </c>
      <c r="B13" s="2" t="s">
        <v>329</v>
      </c>
      <c r="C13" s="20">
        <v>2</v>
      </c>
      <c r="D13" s="20">
        <f>SUMIF(ENTRADAS[[#All],[CODIGO]],PRODUCTOS[[#This Row],[CODIGO]],ENTRADAS[[#All],[CANTIDAD]])</f>
        <v>0</v>
      </c>
      <c r="E13" s="20">
        <f>SUMIF(SALIDAS[[#All],[CODIGO]],PRODUCTOS[[#This Row],[CODIGO]],SALIDAS[[#All],[CANTIDAD ]])</f>
        <v>0</v>
      </c>
      <c r="F13" s="26">
        <v>80000</v>
      </c>
      <c r="G13" s="25">
        <v>0</v>
      </c>
    </row>
    <row r="14" spans="1:7" x14ac:dyDescent="0.25">
      <c r="A14" s="38">
        <v>13</v>
      </c>
      <c r="B14" s="2" t="s">
        <v>328</v>
      </c>
      <c r="C14" s="20">
        <v>0</v>
      </c>
      <c r="D14" s="20">
        <f>SUMIF(ENTRADAS[[#All],[CODIGO]],PRODUCTOS[[#This Row],[CODIGO]],ENTRADAS[[#All],[CANTIDAD]])</f>
        <v>0</v>
      </c>
      <c r="E14" s="20">
        <f>SUMIF(SALIDAS[[#All],[CODIGO]],PRODUCTOS[[#This Row],[CODIGO]],SALIDAS[[#All],[CANTIDAD ]])</f>
        <v>0</v>
      </c>
      <c r="F14" s="26">
        <v>1260000</v>
      </c>
      <c r="G14" s="25">
        <v>1360000</v>
      </c>
    </row>
    <row r="15" spans="1:7" x14ac:dyDescent="0.25">
      <c r="A15" s="39">
        <v>14</v>
      </c>
      <c r="B15" s="2" t="s">
        <v>327</v>
      </c>
      <c r="C15" s="20">
        <v>2</v>
      </c>
      <c r="D15" s="20">
        <f>SUMIF(ENTRADAS[[#All],[CODIGO]],PRODUCTOS[[#This Row],[CODIGO]],ENTRADAS[[#All],[CANTIDAD]])</f>
        <v>0</v>
      </c>
      <c r="E15" s="20">
        <f>SUMIF(SALIDAS[[#All],[CODIGO]],PRODUCTOS[[#This Row],[CODIGO]],SALIDAS[[#All],[CANTIDAD ]])</f>
        <v>0</v>
      </c>
      <c r="F15" s="26">
        <v>1250000</v>
      </c>
      <c r="G15" s="25">
        <v>1350000</v>
      </c>
    </row>
    <row r="16" spans="1:7" x14ac:dyDescent="0.25">
      <c r="A16" s="38">
        <v>15</v>
      </c>
      <c r="B16" s="2" t="s">
        <v>326</v>
      </c>
      <c r="C16" s="20">
        <v>0</v>
      </c>
      <c r="D16" s="20">
        <f>SUMIF(ENTRADAS[[#All],[CODIGO]],PRODUCTOS[[#This Row],[CODIGO]],ENTRADAS[[#All],[CANTIDAD]])</f>
        <v>0</v>
      </c>
      <c r="E16" s="20">
        <f>SUMIF(SALIDAS[[#All],[CODIGO]],PRODUCTOS[[#This Row],[CODIGO]],SALIDAS[[#All],[CANTIDAD ]])</f>
        <v>0</v>
      </c>
      <c r="F16" s="26">
        <v>2050000</v>
      </c>
      <c r="G16" s="25">
        <v>2200000</v>
      </c>
    </row>
    <row r="17" spans="1:7" x14ac:dyDescent="0.25">
      <c r="A17" s="38">
        <v>16</v>
      </c>
      <c r="B17" s="2" t="s">
        <v>325</v>
      </c>
      <c r="C17" s="20">
        <v>1</v>
      </c>
      <c r="D17" s="20">
        <f>SUMIF(ENTRADAS[[#All],[CODIGO]],PRODUCTOS[[#This Row],[CODIGO]],ENTRADAS[[#All],[CANTIDAD]])</f>
        <v>0</v>
      </c>
      <c r="E17" s="20">
        <f>SUMIF(SALIDAS[[#All],[CODIGO]],PRODUCTOS[[#This Row],[CODIGO]],SALIDAS[[#All],[CANTIDAD ]])</f>
        <v>0</v>
      </c>
      <c r="F17" s="26">
        <v>1670000</v>
      </c>
      <c r="G17" s="25">
        <v>1800000</v>
      </c>
    </row>
    <row r="18" spans="1:7" x14ac:dyDescent="0.25">
      <c r="A18" s="39">
        <v>17</v>
      </c>
      <c r="B18" s="2" t="s">
        <v>324</v>
      </c>
      <c r="C18" s="20">
        <v>1</v>
      </c>
      <c r="D18" s="20">
        <f>SUMIF(ENTRADAS[[#All],[CODIGO]],PRODUCTOS[[#This Row],[CODIGO]],ENTRADAS[[#All],[CANTIDAD]])</f>
        <v>0</v>
      </c>
      <c r="E18" s="20">
        <f>SUMIF(SALIDAS[[#All],[CODIGO]],PRODUCTOS[[#This Row],[CODIGO]],SALIDAS[[#All],[CANTIDAD ]])</f>
        <v>0</v>
      </c>
      <c r="F18" s="26">
        <v>2200000</v>
      </c>
      <c r="G18" s="25">
        <v>2350000</v>
      </c>
    </row>
    <row r="19" spans="1:7" x14ac:dyDescent="0.25">
      <c r="A19" s="38">
        <v>18</v>
      </c>
      <c r="B19" s="2" t="s">
        <v>323</v>
      </c>
      <c r="C19" s="20">
        <v>1</v>
      </c>
      <c r="D19" s="20">
        <f>SUMIF(ENTRADAS[[#All],[CODIGO]],PRODUCTOS[[#This Row],[CODIGO]],ENTRADAS[[#All],[CANTIDAD]])</f>
        <v>0</v>
      </c>
      <c r="E19" s="20">
        <f>SUMIF(SALIDAS[[#All],[CODIGO]],PRODUCTOS[[#This Row],[CODIGO]],SALIDAS[[#All],[CANTIDAD ]])</f>
        <v>0</v>
      </c>
      <c r="F19" s="26">
        <v>1870000</v>
      </c>
      <c r="G19" s="25">
        <v>2000000</v>
      </c>
    </row>
    <row r="20" spans="1:7" x14ac:dyDescent="0.25">
      <c r="A20" s="38">
        <v>19</v>
      </c>
      <c r="B20" s="2" t="s">
        <v>322</v>
      </c>
      <c r="C20" s="20">
        <v>0</v>
      </c>
      <c r="D20" s="20">
        <f>SUMIF(ENTRADAS[[#All],[CODIGO]],PRODUCTOS[[#This Row],[CODIGO]],ENTRADAS[[#All],[CANTIDAD]])</f>
        <v>0</v>
      </c>
      <c r="E20" s="20">
        <f>SUMIF(SALIDAS[[#All],[CODIGO]],PRODUCTOS[[#This Row],[CODIGO]],SALIDAS[[#All],[CANTIDAD ]])</f>
        <v>0</v>
      </c>
      <c r="F20" s="26">
        <v>850000</v>
      </c>
      <c r="G20" s="25">
        <v>950000</v>
      </c>
    </row>
    <row r="21" spans="1:7" x14ac:dyDescent="0.25">
      <c r="A21" s="39">
        <v>20</v>
      </c>
      <c r="B21" s="2" t="s">
        <v>321</v>
      </c>
      <c r="C21" s="20">
        <v>0</v>
      </c>
      <c r="D21" s="20">
        <f>SUMIF(ENTRADAS[[#All],[CODIGO]],PRODUCTOS[[#This Row],[CODIGO]],ENTRADAS[[#All],[CANTIDAD]])</f>
        <v>0</v>
      </c>
      <c r="E21" s="20">
        <f>SUMIF(SALIDAS[[#All],[CODIGO]],PRODUCTOS[[#This Row],[CODIGO]],SALIDAS[[#All],[CANTIDAD ]])</f>
        <v>0</v>
      </c>
      <c r="F21" s="26">
        <v>810000</v>
      </c>
      <c r="G21" s="25">
        <v>910000</v>
      </c>
    </row>
    <row r="22" spans="1:7" x14ac:dyDescent="0.25">
      <c r="A22" s="38">
        <v>21</v>
      </c>
      <c r="B22" s="2" t="s">
        <v>320</v>
      </c>
      <c r="C22" s="20">
        <v>1</v>
      </c>
      <c r="D22" s="20">
        <f>SUMIF(ENTRADAS[[#All],[CODIGO]],PRODUCTOS[[#This Row],[CODIGO]],ENTRADAS[[#All],[CANTIDAD]])</f>
        <v>0</v>
      </c>
      <c r="E22" s="20">
        <f>SUMIF(SALIDAS[[#All],[CODIGO]],PRODUCTOS[[#This Row],[CODIGO]],SALIDAS[[#All],[CANTIDAD ]])</f>
        <v>0</v>
      </c>
      <c r="F22" s="26">
        <v>780000</v>
      </c>
      <c r="G22" s="25">
        <v>880000</v>
      </c>
    </row>
    <row r="23" spans="1:7" x14ac:dyDescent="0.25">
      <c r="A23" s="38">
        <v>22</v>
      </c>
      <c r="B23" s="2" t="s">
        <v>319</v>
      </c>
      <c r="C23" s="20">
        <v>1</v>
      </c>
      <c r="D23" s="20">
        <f>SUMIF(ENTRADAS[[#All],[CODIGO]],PRODUCTOS[[#This Row],[CODIGO]],ENTRADAS[[#All],[CANTIDAD]])</f>
        <v>0</v>
      </c>
      <c r="E23" s="20">
        <f>SUMIF(SALIDAS[[#All],[CODIGO]],PRODUCTOS[[#This Row],[CODIGO]],SALIDAS[[#All],[CANTIDAD ]])</f>
        <v>0</v>
      </c>
      <c r="F23" s="26">
        <v>960000</v>
      </c>
      <c r="G23" s="25">
        <v>1060000</v>
      </c>
    </row>
    <row r="24" spans="1:7" x14ac:dyDescent="0.25">
      <c r="A24" s="39">
        <v>23</v>
      </c>
      <c r="B24" s="2" t="s">
        <v>318</v>
      </c>
      <c r="C24" s="20">
        <v>1</v>
      </c>
      <c r="D24" s="20">
        <f>SUMIF(ENTRADAS[[#All],[CODIGO]],PRODUCTOS[[#This Row],[CODIGO]],ENTRADAS[[#All],[CANTIDAD]])</f>
        <v>0</v>
      </c>
      <c r="E24" s="20">
        <f>SUMIF(SALIDAS[[#All],[CODIGO]],PRODUCTOS[[#This Row],[CODIGO]],SALIDAS[[#All],[CANTIDAD ]])</f>
        <v>0</v>
      </c>
      <c r="F24" s="26">
        <v>840000</v>
      </c>
      <c r="G24" s="25">
        <v>940000</v>
      </c>
    </row>
    <row r="25" spans="1:7" x14ac:dyDescent="0.25">
      <c r="A25" s="38">
        <v>24</v>
      </c>
      <c r="B25" s="2" t="s">
        <v>317</v>
      </c>
      <c r="C25" s="20">
        <v>1</v>
      </c>
      <c r="D25" s="20">
        <f>SUMIF(ENTRADAS[[#All],[CODIGO]],PRODUCTOS[[#This Row],[CODIGO]],ENTRADAS[[#All],[CANTIDAD]])</f>
        <v>0</v>
      </c>
      <c r="E25" s="20">
        <f>SUMIF(SALIDAS[[#All],[CODIGO]],PRODUCTOS[[#This Row],[CODIGO]],SALIDAS[[#All],[CANTIDAD ]])</f>
        <v>0</v>
      </c>
      <c r="F25" s="26">
        <v>1550000</v>
      </c>
      <c r="G25" s="25">
        <v>1700000</v>
      </c>
    </row>
    <row r="26" spans="1:7" x14ac:dyDescent="0.25">
      <c r="A26" s="38">
        <v>25</v>
      </c>
      <c r="B26" s="2" t="s">
        <v>316</v>
      </c>
      <c r="C26" s="20">
        <v>1</v>
      </c>
      <c r="D26" s="20">
        <f>SUMIF(ENTRADAS[[#All],[CODIGO]],PRODUCTOS[[#This Row],[CODIGO]],ENTRADAS[[#All],[CANTIDAD]])</f>
        <v>0</v>
      </c>
      <c r="E26" s="20">
        <f>SUMIF(SALIDAS[[#All],[CODIGO]],PRODUCTOS[[#This Row],[CODIGO]],SALIDAS[[#All],[CANTIDAD ]])</f>
        <v>0</v>
      </c>
      <c r="F26" s="26">
        <v>420000</v>
      </c>
      <c r="G26" s="25">
        <v>600000</v>
      </c>
    </row>
    <row r="27" spans="1:7" x14ac:dyDescent="0.25">
      <c r="A27" s="39">
        <v>26</v>
      </c>
      <c r="B27" s="2" t="s">
        <v>315</v>
      </c>
      <c r="C27" s="20">
        <v>0</v>
      </c>
      <c r="D27" s="20">
        <f>SUMIF(ENTRADAS[[#All],[CODIGO]],PRODUCTOS[[#This Row],[CODIGO]],ENTRADAS[[#All],[CANTIDAD]])</f>
        <v>0</v>
      </c>
      <c r="E27" s="20">
        <f>SUMIF(SALIDAS[[#All],[CODIGO]],PRODUCTOS[[#This Row],[CODIGO]],SALIDAS[[#All],[CANTIDAD ]])</f>
        <v>0</v>
      </c>
      <c r="F27" s="26">
        <v>340000</v>
      </c>
      <c r="G27" s="25">
        <v>440000</v>
      </c>
    </row>
    <row r="28" spans="1:7" x14ac:dyDescent="0.25">
      <c r="A28" s="38">
        <v>27</v>
      </c>
      <c r="B28" s="2" t="s">
        <v>314</v>
      </c>
      <c r="C28" s="20">
        <v>1</v>
      </c>
      <c r="D28" s="20">
        <f>SUMIF(ENTRADAS[[#All],[CODIGO]],PRODUCTOS[[#This Row],[CODIGO]],ENTRADAS[[#All],[CANTIDAD]])</f>
        <v>0</v>
      </c>
      <c r="E28" s="20">
        <f>SUMIF(SALIDAS[[#All],[CODIGO]],PRODUCTOS[[#This Row],[CODIGO]],SALIDAS[[#All],[CANTIDAD ]])</f>
        <v>0</v>
      </c>
      <c r="F28" s="26">
        <v>650000</v>
      </c>
      <c r="G28" s="25">
        <v>750000</v>
      </c>
    </row>
    <row r="29" spans="1:7" x14ac:dyDescent="0.25">
      <c r="A29" s="38">
        <v>28</v>
      </c>
      <c r="B29" s="2" t="s">
        <v>313</v>
      </c>
      <c r="C29" s="20">
        <v>1</v>
      </c>
      <c r="D29" s="20">
        <f>SUMIF(ENTRADAS[[#All],[CODIGO]],PRODUCTOS[[#This Row],[CODIGO]],ENTRADAS[[#All],[CANTIDAD]])</f>
        <v>0</v>
      </c>
      <c r="E29" s="20">
        <f>SUMIF(SALIDAS[[#All],[CODIGO]],PRODUCTOS[[#This Row],[CODIGO]],SALIDAS[[#All],[CANTIDAD ]])</f>
        <v>0</v>
      </c>
      <c r="F29" s="26">
        <v>1970000</v>
      </c>
      <c r="G29" s="25">
        <v>2100000</v>
      </c>
    </row>
    <row r="30" spans="1:7" x14ac:dyDescent="0.25">
      <c r="A30" s="39">
        <v>29</v>
      </c>
      <c r="B30" s="2" t="s">
        <v>312</v>
      </c>
      <c r="C30" s="20">
        <v>1</v>
      </c>
      <c r="D30" s="20">
        <f>SUMIF(ENTRADAS[[#All],[CODIGO]],PRODUCTOS[[#This Row],[CODIGO]],ENTRADAS[[#All],[CANTIDAD]])</f>
        <v>0</v>
      </c>
      <c r="E30" s="20">
        <f>SUMIF(SALIDAS[[#All],[CODIGO]],PRODUCTOS[[#This Row],[CODIGO]],SALIDAS[[#All],[CANTIDAD ]])</f>
        <v>0</v>
      </c>
      <c r="F30" s="26">
        <v>740000</v>
      </c>
      <c r="G30" s="25">
        <v>840000</v>
      </c>
    </row>
    <row r="31" spans="1:7" x14ac:dyDescent="0.25">
      <c r="A31" s="38">
        <v>30</v>
      </c>
      <c r="B31" s="2" t="s">
        <v>311</v>
      </c>
      <c r="C31" s="20">
        <v>1</v>
      </c>
      <c r="D31" s="20">
        <f>SUMIF(ENTRADAS[[#All],[CODIGO]],PRODUCTOS[[#This Row],[CODIGO]],ENTRADAS[[#All],[CANTIDAD]])</f>
        <v>0</v>
      </c>
      <c r="E31" s="20">
        <f>SUMIF(SALIDAS[[#All],[CODIGO]],PRODUCTOS[[#This Row],[CODIGO]],SALIDAS[[#All],[CANTIDAD ]])</f>
        <v>0</v>
      </c>
      <c r="F31" s="26">
        <v>640000</v>
      </c>
      <c r="G31" s="25">
        <v>740000</v>
      </c>
    </row>
    <row r="32" spans="1:7" x14ac:dyDescent="0.25">
      <c r="A32" s="38">
        <v>31</v>
      </c>
      <c r="B32" s="2" t="s">
        <v>310</v>
      </c>
      <c r="C32" s="20">
        <v>0</v>
      </c>
      <c r="D32" s="20">
        <f>SUMIF(ENTRADAS[[#All],[CODIGO]],PRODUCTOS[[#This Row],[CODIGO]],ENTRADAS[[#All],[CANTIDAD]])</f>
        <v>0</v>
      </c>
      <c r="E32" s="20">
        <f>SUMIF(SALIDAS[[#All],[CODIGO]],PRODUCTOS[[#This Row],[CODIGO]],SALIDAS[[#All],[CANTIDAD ]])</f>
        <v>0</v>
      </c>
      <c r="F32" s="26">
        <v>850000</v>
      </c>
      <c r="G32" s="25">
        <v>950000</v>
      </c>
    </row>
    <row r="33" spans="1:7" x14ac:dyDescent="0.25">
      <c r="A33" s="39">
        <v>32</v>
      </c>
      <c r="B33" s="2" t="s">
        <v>309</v>
      </c>
      <c r="C33" s="20">
        <v>0</v>
      </c>
      <c r="D33" s="20">
        <f>SUMIF(ENTRADAS[[#All],[CODIGO]],PRODUCTOS[[#This Row],[CODIGO]],ENTRADAS[[#All],[CANTIDAD]])</f>
        <v>0</v>
      </c>
      <c r="E33" s="20">
        <f>SUMIF(SALIDAS[[#All],[CODIGO]],PRODUCTOS[[#This Row],[CODIGO]],SALIDAS[[#All],[CANTIDAD ]])</f>
        <v>0</v>
      </c>
      <c r="F33" s="26">
        <v>470000</v>
      </c>
      <c r="G33" s="25">
        <v>570000</v>
      </c>
    </row>
    <row r="34" spans="1:7" x14ac:dyDescent="0.25">
      <c r="A34" s="38">
        <v>33</v>
      </c>
      <c r="B34" s="2" t="s">
        <v>308</v>
      </c>
      <c r="C34" s="20">
        <v>1</v>
      </c>
      <c r="D34" s="20">
        <f>SUMIF(ENTRADAS[[#All],[CODIGO]],PRODUCTOS[[#This Row],[CODIGO]],ENTRADAS[[#All],[CANTIDAD]])</f>
        <v>0</v>
      </c>
      <c r="E34" s="20">
        <f>SUMIF(SALIDAS[[#All],[CODIGO]],PRODUCTOS[[#This Row],[CODIGO]],SALIDAS[[#All],[CANTIDAD ]])</f>
        <v>0</v>
      </c>
      <c r="F34" s="26">
        <v>350000</v>
      </c>
      <c r="G34" s="25">
        <v>450000</v>
      </c>
    </row>
    <row r="35" spans="1:7" x14ac:dyDescent="0.25">
      <c r="A35" s="38">
        <v>34</v>
      </c>
      <c r="B35" s="2" t="s">
        <v>307</v>
      </c>
      <c r="C35" s="20">
        <v>3</v>
      </c>
      <c r="D35" s="20">
        <f>SUMIF(ENTRADAS[[#All],[CODIGO]],PRODUCTOS[[#This Row],[CODIGO]],ENTRADAS[[#All],[CANTIDAD]])</f>
        <v>0</v>
      </c>
      <c r="E35" s="20">
        <f>SUMIF(SALIDAS[[#All],[CODIGO]],PRODUCTOS[[#This Row],[CODIGO]],SALIDAS[[#All],[CANTIDAD ]])</f>
        <v>0</v>
      </c>
      <c r="F35" s="26">
        <v>450000</v>
      </c>
      <c r="G35" s="25">
        <v>550000</v>
      </c>
    </row>
    <row r="36" spans="1:7" x14ac:dyDescent="0.25">
      <c r="A36" s="39">
        <v>35</v>
      </c>
      <c r="B36" s="2" t="s">
        <v>306</v>
      </c>
      <c r="C36" s="20">
        <v>1</v>
      </c>
      <c r="D36" s="20">
        <f>SUMIF(ENTRADAS[[#All],[CODIGO]],PRODUCTOS[[#This Row],[CODIGO]],ENTRADAS[[#All],[CANTIDAD]])</f>
        <v>0</v>
      </c>
      <c r="E36" s="20">
        <f>SUMIF(SALIDAS[[#All],[CODIGO]],PRODUCTOS[[#This Row],[CODIGO]],SALIDAS[[#All],[CANTIDAD ]])</f>
        <v>0</v>
      </c>
      <c r="F36" s="26">
        <v>850000</v>
      </c>
      <c r="G36" s="25">
        <v>950000</v>
      </c>
    </row>
    <row r="37" spans="1:7" x14ac:dyDescent="0.25">
      <c r="A37" s="38">
        <v>36</v>
      </c>
      <c r="B37" s="2" t="s">
        <v>305</v>
      </c>
      <c r="C37" s="20">
        <v>1</v>
      </c>
      <c r="D37" s="20">
        <f>SUMIF(ENTRADAS[[#All],[CODIGO]],PRODUCTOS[[#This Row],[CODIGO]],ENTRADAS[[#All],[CANTIDAD]])</f>
        <v>0</v>
      </c>
      <c r="E37" s="20">
        <f>SUMIF(SALIDAS[[#All],[CODIGO]],PRODUCTOS[[#This Row],[CODIGO]],SALIDAS[[#All],[CANTIDAD ]])</f>
        <v>0</v>
      </c>
      <c r="F37" s="26">
        <v>850000</v>
      </c>
      <c r="G37" s="25">
        <v>950000</v>
      </c>
    </row>
    <row r="38" spans="1:7" x14ac:dyDescent="0.25">
      <c r="A38" s="38">
        <v>37</v>
      </c>
      <c r="B38" s="2" t="s">
        <v>304</v>
      </c>
      <c r="C38" s="20">
        <v>1</v>
      </c>
      <c r="D38" s="20">
        <f>SUMIF(ENTRADAS[[#All],[CODIGO]],PRODUCTOS[[#This Row],[CODIGO]],ENTRADAS[[#All],[CANTIDAD]])</f>
        <v>0</v>
      </c>
      <c r="E38" s="20">
        <f>SUMIF(SALIDAS[[#All],[CODIGO]],PRODUCTOS[[#This Row],[CODIGO]],SALIDAS[[#All],[CANTIDAD ]])</f>
        <v>0</v>
      </c>
      <c r="F38" s="26">
        <v>990000</v>
      </c>
      <c r="G38" s="25">
        <v>1100000</v>
      </c>
    </row>
    <row r="39" spans="1:7" x14ac:dyDescent="0.25">
      <c r="A39" s="39">
        <v>38</v>
      </c>
      <c r="B39" s="2" t="s">
        <v>303</v>
      </c>
      <c r="C39" s="20">
        <v>0</v>
      </c>
      <c r="D39" s="20">
        <f>SUMIF(ENTRADAS[[#All],[CODIGO]],PRODUCTOS[[#This Row],[CODIGO]],ENTRADAS[[#All],[CANTIDAD]])</f>
        <v>0</v>
      </c>
      <c r="E39" s="20">
        <f>SUMIF(SALIDAS[[#All],[CODIGO]],PRODUCTOS[[#This Row],[CODIGO]],SALIDAS[[#All],[CANTIDAD ]])</f>
        <v>0</v>
      </c>
      <c r="F39" s="26">
        <v>890000</v>
      </c>
      <c r="G39" s="25">
        <v>990000</v>
      </c>
    </row>
    <row r="40" spans="1:7" x14ac:dyDescent="0.25">
      <c r="A40" s="38">
        <v>39</v>
      </c>
      <c r="B40" s="2" t="s">
        <v>302</v>
      </c>
      <c r="C40" s="20">
        <v>1</v>
      </c>
      <c r="D40" s="20">
        <f>SUMIF(ENTRADAS[[#All],[CODIGO]],PRODUCTOS[[#This Row],[CODIGO]],ENTRADAS[[#All],[CANTIDAD]])</f>
        <v>0</v>
      </c>
      <c r="E40" s="20">
        <f>SUMIF(SALIDAS[[#All],[CODIGO]],PRODUCTOS[[#This Row],[CODIGO]],SALIDAS[[#All],[CANTIDAD ]])</f>
        <v>0</v>
      </c>
      <c r="F40" s="26">
        <v>1350000</v>
      </c>
      <c r="G40" s="25">
        <v>1450000</v>
      </c>
    </row>
    <row r="41" spans="1:7" x14ac:dyDescent="0.25">
      <c r="A41" s="38">
        <v>40</v>
      </c>
      <c r="B41" s="2" t="s">
        <v>301</v>
      </c>
      <c r="C41" s="20">
        <v>1</v>
      </c>
      <c r="D41" s="20">
        <f>SUMIF(ENTRADAS[[#All],[CODIGO]],PRODUCTOS[[#This Row],[CODIGO]],ENTRADAS[[#All],[CANTIDAD]])</f>
        <v>0</v>
      </c>
      <c r="E41" s="20">
        <f>SUMIF(SALIDAS[[#All],[CODIGO]],PRODUCTOS[[#This Row],[CODIGO]],SALIDAS[[#All],[CANTIDAD ]])</f>
        <v>0</v>
      </c>
      <c r="F41" s="26">
        <v>610000</v>
      </c>
      <c r="G41" s="25">
        <v>710000</v>
      </c>
    </row>
    <row r="42" spans="1:7" x14ac:dyDescent="0.25">
      <c r="A42" s="39">
        <v>41</v>
      </c>
      <c r="B42" s="2" t="s">
        <v>300</v>
      </c>
      <c r="C42" s="20">
        <v>1</v>
      </c>
      <c r="D42" s="20">
        <f>SUMIF(ENTRADAS[[#All],[CODIGO]],PRODUCTOS[[#This Row],[CODIGO]],ENTRADAS[[#All],[CANTIDAD]])</f>
        <v>0</v>
      </c>
      <c r="E42" s="20">
        <f>SUMIF(SALIDAS[[#All],[CODIGO]],PRODUCTOS[[#This Row],[CODIGO]],SALIDAS[[#All],[CANTIDAD ]])</f>
        <v>0</v>
      </c>
      <c r="F42" s="26">
        <v>1850000</v>
      </c>
      <c r="G42" s="25">
        <v>2000000</v>
      </c>
    </row>
    <row r="43" spans="1:7" x14ac:dyDescent="0.25">
      <c r="A43" s="38">
        <v>42</v>
      </c>
      <c r="B43" s="2" t="s">
        <v>299</v>
      </c>
      <c r="C43" s="20">
        <v>1</v>
      </c>
      <c r="D43" s="20">
        <f>SUMIF(ENTRADAS[[#All],[CODIGO]],PRODUCTOS[[#This Row],[CODIGO]],ENTRADAS[[#All],[CANTIDAD]])</f>
        <v>0</v>
      </c>
      <c r="E43" s="20">
        <f>SUMIF(SALIDAS[[#All],[CODIGO]],PRODUCTOS[[#This Row],[CODIGO]],SALIDAS[[#All],[CANTIDAD ]])</f>
        <v>0</v>
      </c>
      <c r="F43" s="26">
        <v>650000</v>
      </c>
      <c r="G43" s="25">
        <v>750000</v>
      </c>
    </row>
    <row r="44" spans="1:7" x14ac:dyDescent="0.25">
      <c r="A44" s="38">
        <v>43</v>
      </c>
      <c r="B44" s="2" t="s">
        <v>298</v>
      </c>
      <c r="C44" s="20">
        <v>0</v>
      </c>
      <c r="D44" s="20">
        <f>SUMIF(ENTRADAS[[#All],[CODIGO]],PRODUCTOS[[#This Row],[CODIGO]],ENTRADAS[[#All],[CANTIDAD]])</f>
        <v>0</v>
      </c>
      <c r="E44" s="20">
        <f>SUMIF(SALIDAS[[#All],[CODIGO]],PRODUCTOS[[#This Row],[CODIGO]],SALIDAS[[#All],[CANTIDAD ]])</f>
        <v>0</v>
      </c>
      <c r="F44" s="26">
        <v>1250000</v>
      </c>
      <c r="G44" s="25">
        <v>1350000</v>
      </c>
    </row>
    <row r="45" spans="1:7" x14ac:dyDescent="0.25">
      <c r="A45" s="39">
        <v>44</v>
      </c>
      <c r="B45" s="2" t="s">
        <v>368</v>
      </c>
      <c r="C45" s="20">
        <v>11</v>
      </c>
      <c r="D45" s="20">
        <f>SUMIF(ENTRADAS[[#All],[CODIGO]],PRODUCTOS[[#This Row],[CODIGO]],ENTRADAS[[#All],[CANTIDAD]])</f>
        <v>0</v>
      </c>
      <c r="E45" s="20">
        <f>SUMIF(SALIDAS[[#All],[CODIGO]],PRODUCTOS[[#This Row],[CODIGO]],SALIDAS[[#All],[CANTIDAD ]])</f>
        <v>0</v>
      </c>
      <c r="F45" s="26">
        <v>20000</v>
      </c>
      <c r="G45" s="25">
        <v>0</v>
      </c>
    </row>
    <row r="46" spans="1:7" x14ac:dyDescent="0.25">
      <c r="A46" s="38">
        <v>45</v>
      </c>
      <c r="B46" s="2" t="s">
        <v>297</v>
      </c>
      <c r="C46" s="20">
        <v>2</v>
      </c>
      <c r="D46" s="20">
        <f>SUMIF(ENTRADAS[[#All],[CODIGO]],PRODUCTOS[[#This Row],[CODIGO]],ENTRADAS[[#All],[CANTIDAD]])</f>
        <v>0</v>
      </c>
      <c r="E46" s="20">
        <f>SUMIF(SALIDAS[[#All],[CODIGO]],PRODUCTOS[[#This Row],[CODIGO]],SALIDAS[[#All],[CANTIDAD ]])</f>
        <v>0</v>
      </c>
      <c r="F46" s="26">
        <v>68000</v>
      </c>
      <c r="G46" s="25">
        <v>0</v>
      </c>
    </row>
    <row r="47" spans="1:7" x14ac:dyDescent="0.25">
      <c r="A47" s="38">
        <v>46</v>
      </c>
      <c r="B47" s="2" t="s">
        <v>296</v>
      </c>
      <c r="C47" s="20">
        <v>1</v>
      </c>
      <c r="D47" s="20">
        <f>SUMIF(ENTRADAS[[#All],[CODIGO]],PRODUCTOS[[#This Row],[CODIGO]],ENTRADAS[[#All],[CANTIDAD]])</f>
        <v>0</v>
      </c>
      <c r="E47" s="20">
        <f>SUMIF(SALIDAS[[#All],[CODIGO]],PRODUCTOS[[#This Row],[CODIGO]],SALIDAS[[#All],[CANTIDAD ]])</f>
        <v>0</v>
      </c>
      <c r="F47" s="26">
        <v>120000</v>
      </c>
      <c r="G47" s="25">
        <v>0</v>
      </c>
    </row>
    <row r="48" spans="1:7" x14ac:dyDescent="0.25">
      <c r="A48" s="39">
        <v>47</v>
      </c>
      <c r="B48" s="2" t="s">
        <v>295</v>
      </c>
      <c r="C48" s="20">
        <v>2</v>
      </c>
      <c r="D48" s="20">
        <f>SUMIF(ENTRADAS[[#All],[CODIGO]],PRODUCTOS[[#This Row],[CODIGO]],ENTRADAS[[#All],[CANTIDAD]])</f>
        <v>0</v>
      </c>
      <c r="E48" s="20">
        <f>SUMIF(SALIDAS[[#All],[CODIGO]],PRODUCTOS[[#This Row],[CODIGO]],SALIDAS[[#All],[CANTIDAD ]])</f>
        <v>0</v>
      </c>
      <c r="F48" s="26">
        <v>98000</v>
      </c>
      <c r="G48" s="25">
        <v>0</v>
      </c>
    </row>
    <row r="49" spans="1:7" x14ac:dyDescent="0.25">
      <c r="A49" s="38">
        <v>48</v>
      </c>
      <c r="B49" s="2" t="s">
        <v>216</v>
      </c>
      <c r="C49" s="20">
        <v>1</v>
      </c>
      <c r="D49" s="20">
        <f>SUMIF(ENTRADAS[[#All],[CODIGO]],PRODUCTOS[[#This Row],[CODIGO]],ENTRADAS[[#All],[CANTIDAD]])</f>
        <v>0</v>
      </c>
      <c r="E49" s="20">
        <f>SUMIF(SALIDAS[[#All],[CODIGO]],PRODUCTOS[[#This Row],[CODIGO]],SALIDAS[[#All],[CANTIDAD ]])</f>
        <v>0</v>
      </c>
      <c r="F49" s="26">
        <v>200000</v>
      </c>
      <c r="G49" s="25">
        <v>0</v>
      </c>
    </row>
    <row r="50" spans="1:7" x14ac:dyDescent="0.25">
      <c r="A50" s="38">
        <v>49</v>
      </c>
      <c r="B50" s="2" t="s">
        <v>294</v>
      </c>
      <c r="C50" s="20">
        <v>1</v>
      </c>
      <c r="D50" s="20">
        <f>SUMIF(ENTRADAS[[#All],[CODIGO]],PRODUCTOS[[#This Row],[CODIGO]],ENTRADAS[[#All],[CANTIDAD]])</f>
        <v>0</v>
      </c>
      <c r="E50" s="20">
        <f>SUMIF(SALIDAS[[#All],[CODIGO]],PRODUCTOS[[#This Row],[CODIGO]],SALIDAS[[#All],[CANTIDAD ]])</f>
        <v>0</v>
      </c>
      <c r="F50" s="26">
        <v>97000</v>
      </c>
      <c r="G50" s="25">
        <v>0</v>
      </c>
    </row>
    <row r="51" spans="1:7" x14ac:dyDescent="0.25">
      <c r="A51" s="39">
        <v>50</v>
      </c>
      <c r="B51" s="2" t="s">
        <v>293</v>
      </c>
      <c r="C51" s="20">
        <v>0</v>
      </c>
      <c r="D51" s="20">
        <f>SUMIF(ENTRADAS[[#All],[CODIGO]],PRODUCTOS[[#This Row],[CODIGO]],ENTRADAS[[#All],[CANTIDAD]])</f>
        <v>0</v>
      </c>
      <c r="E51" s="20">
        <f>SUMIF(SALIDAS[[#All],[CODIGO]],PRODUCTOS[[#This Row],[CODIGO]],SALIDAS[[#All],[CANTIDAD ]])</f>
        <v>0</v>
      </c>
      <c r="F51" s="26">
        <v>90000</v>
      </c>
      <c r="G51" s="25">
        <v>0</v>
      </c>
    </row>
    <row r="52" spans="1:7" x14ac:dyDescent="0.25">
      <c r="A52" s="38">
        <v>51</v>
      </c>
      <c r="B52" s="2" t="s">
        <v>292</v>
      </c>
      <c r="C52" s="20">
        <v>2</v>
      </c>
      <c r="D52" s="20">
        <f>SUMIF(ENTRADAS[[#All],[CODIGO]],PRODUCTOS[[#This Row],[CODIGO]],ENTRADAS[[#All],[CANTIDAD]])</f>
        <v>0</v>
      </c>
      <c r="E52" s="20">
        <f>SUMIF(SALIDAS[[#All],[CODIGO]],PRODUCTOS[[#This Row],[CODIGO]],SALIDAS[[#All],[CANTIDAD ]])</f>
        <v>0</v>
      </c>
      <c r="F52" s="26">
        <v>140000</v>
      </c>
      <c r="G52" s="25">
        <v>0</v>
      </c>
    </row>
    <row r="53" spans="1:7" x14ac:dyDescent="0.25">
      <c r="A53" s="38">
        <v>52</v>
      </c>
      <c r="B53" s="2" t="s">
        <v>291</v>
      </c>
      <c r="C53" s="20">
        <v>2</v>
      </c>
      <c r="D53" s="20">
        <f>SUMIF(ENTRADAS[[#All],[CODIGO]],PRODUCTOS[[#This Row],[CODIGO]],ENTRADAS[[#All],[CANTIDAD]])</f>
        <v>0</v>
      </c>
      <c r="E53" s="20">
        <f>SUMIF(SALIDAS[[#All],[CODIGO]],PRODUCTOS[[#This Row],[CODIGO]],SALIDAS[[#All],[CANTIDAD ]])</f>
        <v>0</v>
      </c>
      <c r="F53" s="26">
        <v>85000</v>
      </c>
      <c r="G53" s="25">
        <v>0</v>
      </c>
    </row>
    <row r="54" spans="1:7" x14ac:dyDescent="0.25">
      <c r="A54" s="39">
        <v>53</v>
      </c>
      <c r="B54" s="24" t="s">
        <v>290</v>
      </c>
      <c r="C54" s="23">
        <v>2</v>
      </c>
      <c r="D54" s="23">
        <f>SUMIF(ENTRADAS[[#All],[CODIGO]],PRODUCTOS[[#This Row],[CODIGO]],ENTRADAS[[#All],[CANTIDAD]])</f>
        <v>0</v>
      </c>
      <c r="E54" s="20">
        <f>SUMIF(SALIDAS[[#All],[CODIGO]],PRODUCTOS[[#This Row],[CODIGO]],SALIDAS[[#All],[CANTIDAD ]])</f>
        <v>0</v>
      </c>
      <c r="F54" s="22">
        <v>115000</v>
      </c>
      <c r="G54" s="21">
        <v>150000</v>
      </c>
    </row>
    <row r="55" spans="1:7" x14ac:dyDescent="0.25">
      <c r="A55" s="38">
        <v>54</v>
      </c>
      <c r="B55" s="24" t="s">
        <v>289</v>
      </c>
      <c r="C55" s="23">
        <v>4</v>
      </c>
      <c r="D55" s="23">
        <f>SUMIF(ENTRADAS[[#All],[CODIGO]],PRODUCTOS[[#This Row],[CODIGO]],ENTRADAS[[#All],[CANTIDAD]])</f>
        <v>0</v>
      </c>
      <c r="E55" s="20">
        <f>SUMIF(SALIDAS[[#All],[CODIGO]],PRODUCTOS[[#This Row],[CODIGO]],SALIDAS[[#All],[CANTIDAD ]])</f>
        <v>0</v>
      </c>
      <c r="F55" s="22">
        <v>490000</v>
      </c>
      <c r="G55" s="21">
        <v>590000</v>
      </c>
    </row>
    <row r="56" spans="1:7" x14ac:dyDescent="0.25">
      <c r="A56" s="38">
        <v>55</v>
      </c>
      <c r="B56" s="24" t="s">
        <v>288</v>
      </c>
      <c r="C56" s="23">
        <v>2</v>
      </c>
      <c r="D56" s="23">
        <f>SUMIF(ENTRADAS[[#All],[CODIGO]],PRODUCTOS[[#This Row],[CODIGO]],ENTRADAS[[#All],[CANTIDAD]])</f>
        <v>0</v>
      </c>
      <c r="E56" s="20">
        <f>SUMIF(SALIDAS[[#All],[CODIGO]],PRODUCTOS[[#This Row],[CODIGO]],SALIDAS[[#All],[CANTIDAD ]])</f>
        <v>0</v>
      </c>
      <c r="F56" s="22">
        <v>140000</v>
      </c>
      <c r="G56" s="21">
        <v>0</v>
      </c>
    </row>
    <row r="57" spans="1:7" x14ac:dyDescent="0.25">
      <c r="A57" s="39">
        <v>56</v>
      </c>
      <c r="B57" s="24" t="s">
        <v>287</v>
      </c>
      <c r="C57" s="23">
        <v>2</v>
      </c>
      <c r="D57" s="23">
        <f>SUMIF(ENTRADAS[[#All],[CODIGO]],PRODUCTOS[[#This Row],[CODIGO]],ENTRADAS[[#All],[CANTIDAD]])</f>
        <v>0</v>
      </c>
      <c r="E57" s="20">
        <f>SUMIF(SALIDAS[[#All],[CODIGO]],PRODUCTOS[[#This Row],[CODIGO]],SALIDAS[[#All],[CANTIDAD ]])</f>
        <v>0</v>
      </c>
      <c r="F57" s="22">
        <v>55000</v>
      </c>
      <c r="G57" s="21">
        <v>0</v>
      </c>
    </row>
    <row r="58" spans="1:7" x14ac:dyDescent="0.25">
      <c r="A58" s="38">
        <v>57</v>
      </c>
      <c r="B58" s="24" t="s">
        <v>286</v>
      </c>
      <c r="C58" s="23">
        <v>1</v>
      </c>
      <c r="D58" s="23">
        <f>SUMIF(ENTRADAS[[#All],[CODIGO]],PRODUCTOS[[#This Row],[CODIGO]],ENTRADAS[[#All],[CANTIDAD]])</f>
        <v>0</v>
      </c>
      <c r="E58" s="20">
        <f>SUMIF(SALIDAS[[#All],[CODIGO]],PRODUCTOS[[#This Row],[CODIGO]],SALIDAS[[#All],[CANTIDAD ]])</f>
        <v>0</v>
      </c>
      <c r="F58" s="22">
        <v>55000</v>
      </c>
      <c r="G58" s="21">
        <v>0</v>
      </c>
    </row>
    <row r="59" spans="1:7" x14ac:dyDescent="0.25">
      <c r="A59" s="38">
        <v>58</v>
      </c>
      <c r="B59" s="24" t="s">
        <v>285</v>
      </c>
      <c r="C59" s="23">
        <v>1</v>
      </c>
      <c r="D59" s="23">
        <f>SUMIF(ENTRADAS[[#All],[CODIGO]],PRODUCTOS[[#This Row],[CODIGO]],ENTRADAS[[#All],[CANTIDAD]])</f>
        <v>0</v>
      </c>
      <c r="E59" s="20">
        <f>SUMIF(SALIDAS[[#All],[CODIGO]],PRODUCTOS[[#This Row],[CODIGO]],SALIDAS[[#All],[CANTIDAD ]])</f>
        <v>0</v>
      </c>
      <c r="F59" s="22">
        <v>95000</v>
      </c>
      <c r="G59" s="21">
        <v>0</v>
      </c>
    </row>
    <row r="60" spans="1:7" x14ac:dyDescent="0.25">
      <c r="A60" s="39">
        <v>59</v>
      </c>
      <c r="B60" s="24" t="s">
        <v>284</v>
      </c>
      <c r="C60" s="23">
        <v>1</v>
      </c>
      <c r="D60" s="23">
        <f>SUMIF(ENTRADAS[[#All],[CODIGO]],PRODUCTOS[[#This Row],[CODIGO]],ENTRADAS[[#All],[CANTIDAD]])</f>
        <v>0</v>
      </c>
      <c r="E60" s="20">
        <f>SUMIF(SALIDAS[[#All],[CODIGO]],PRODUCTOS[[#This Row],[CODIGO]],SALIDAS[[#All],[CANTIDAD ]])</f>
        <v>0</v>
      </c>
      <c r="F60" s="22">
        <v>65000</v>
      </c>
      <c r="G60" s="21">
        <v>0</v>
      </c>
    </row>
    <row r="61" spans="1:7" x14ac:dyDescent="0.25">
      <c r="A61" s="38">
        <v>60</v>
      </c>
      <c r="B61" s="24" t="s">
        <v>283</v>
      </c>
      <c r="C61" s="23">
        <v>3</v>
      </c>
      <c r="D61" s="23">
        <f>SUMIF(ENTRADAS[[#All],[CODIGO]],PRODUCTOS[[#This Row],[CODIGO]],ENTRADAS[[#All],[CANTIDAD]])</f>
        <v>0</v>
      </c>
      <c r="E61" s="20">
        <f>SUMIF(SALIDAS[[#All],[CODIGO]],PRODUCTOS[[#This Row],[CODIGO]],SALIDAS[[#All],[CANTIDAD ]])</f>
        <v>0</v>
      </c>
      <c r="F61" s="22">
        <v>100000</v>
      </c>
      <c r="G61" s="21">
        <v>0</v>
      </c>
    </row>
    <row r="62" spans="1:7" x14ac:dyDescent="0.25">
      <c r="A62" s="38">
        <v>61</v>
      </c>
      <c r="B62" s="24" t="s">
        <v>282</v>
      </c>
      <c r="C62" s="23">
        <v>1</v>
      </c>
      <c r="D62" s="23">
        <f>SUMIF(ENTRADAS[[#All],[CODIGO]],PRODUCTOS[[#This Row],[CODIGO]],ENTRADAS[[#All],[CANTIDAD]])</f>
        <v>0</v>
      </c>
      <c r="E62" s="20">
        <f>SUMIF(SALIDAS[[#All],[CODIGO]],PRODUCTOS[[#This Row],[CODIGO]],SALIDAS[[#All],[CANTIDAD ]])</f>
        <v>0</v>
      </c>
      <c r="F62" s="22">
        <v>56000</v>
      </c>
      <c r="G62" s="21">
        <v>0</v>
      </c>
    </row>
    <row r="63" spans="1:7" x14ac:dyDescent="0.25">
      <c r="A63" s="39">
        <v>62</v>
      </c>
      <c r="B63" s="24" t="s">
        <v>281</v>
      </c>
      <c r="C63" s="23">
        <v>1</v>
      </c>
      <c r="D63" s="23">
        <f>SUMIF(ENTRADAS[[#All],[CODIGO]],PRODUCTOS[[#This Row],[CODIGO]],ENTRADAS[[#All],[CANTIDAD]])</f>
        <v>0</v>
      </c>
      <c r="E63" s="20">
        <f>SUMIF(SALIDAS[[#All],[CODIGO]],PRODUCTOS[[#This Row],[CODIGO]],SALIDAS[[#All],[CANTIDAD ]])</f>
        <v>0</v>
      </c>
      <c r="F63" s="22">
        <v>95000</v>
      </c>
      <c r="G63" s="21">
        <v>0</v>
      </c>
    </row>
    <row r="64" spans="1:7" x14ac:dyDescent="0.25">
      <c r="A64" s="38">
        <v>63</v>
      </c>
      <c r="B64" s="24" t="s">
        <v>280</v>
      </c>
      <c r="C64" s="23">
        <v>1</v>
      </c>
      <c r="D64" s="23">
        <f>SUMIF(ENTRADAS[[#All],[CODIGO]],PRODUCTOS[[#This Row],[CODIGO]],ENTRADAS[[#All],[CANTIDAD]])</f>
        <v>0</v>
      </c>
      <c r="E64" s="20">
        <f>SUMIF(SALIDAS[[#All],[CODIGO]],PRODUCTOS[[#This Row],[CODIGO]],SALIDAS[[#All],[CANTIDAD ]])</f>
        <v>0</v>
      </c>
      <c r="F64" s="22">
        <v>28000</v>
      </c>
      <c r="G64" s="21">
        <v>0</v>
      </c>
    </row>
    <row r="65" spans="1:7" x14ac:dyDescent="0.25">
      <c r="A65" s="38">
        <v>64</v>
      </c>
      <c r="B65" s="24" t="s">
        <v>279</v>
      </c>
      <c r="C65" s="23">
        <v>2</v>
      </c>
      <c r="D65" s="23">
        <f>SUMIF(ENTRADAS[[#All],[CODIGO]],PRODUCTOS[[#This Row],[CODIGO]],ENTRADAS[[#All],[CANTIDAD]])</f>
        <v>0</v>
      </c>
      <c r="E65" s="20">
        <f>SUMIF(SALIDAS[[#All],[CODIGO]],PRODUCTOS[[#This Row],[CODIGO]],SALIDAS[[#All],[CANTIDAD ]])</f>
        <v>0</v>
      </c>
      <c r="F65" s="22">
        <v>60000</v>
      </c>
      <c r="G65" s="21">
        <v>0</v>
      </c>
    </row>
    <row r="66" spans="1:7" x14ac:dyDescent="0.25">
      <c r="A66" s="39">
        <v>65</v>
      </c>
      <c r="B66" s="24" t="s">
        <v>278</v>
      </c>
      <c r="C66" s="23">
        <v>1</v>
      </c>
      <c r="D66" s="23">
        <f>SUMIF(ENTRADAS[[#All],[CODIGO]],PRODUCTOS[[#This Row],[CODIGO]],ENTRADAS[[#All],[CANTIDAD]])</f>
        <v>0</v>
      </c>
      <c r="E66" s="20">
        <f>SUMIF(SALIDAS[[#All],[CODIGO]],PRODUCTOS[[#This Row],[CODIGO]],SALIDAS[[#All],[CANTIDAD ]])</f>
        <v>0</v>
      </c>
      <c r="F66" s="22">
        <v>60000</v>
      </c>
      <c r="G66" s="21">
        <v>0</v>
      </c>
    </row>
    <row r="67" spans="1:7" x14ac:dyDescent="0.25">
      <c r="A67" s="38">
        <v>66</v>
      </c>
      <c r="B67" s="24" t="s">
        <v>277</v>
      </c>
      <c r="C67" s="23">
        <v>1</v>
      </c>
      <c r="D67" s="23">
        <f>SUMIF(ENTRADAS[[#All],[CODIGO]],PRODUCTOS[[#This Row],[CODIGO]],ENTRADAS[[#All],[CANTIDAD]])</f>
        <v>0</v>
      </c>
      <c r="E67" s="20">
        <f>SUMIF(SALIDAS[[#All],[CODIGO]],PRODUCTOS[[#This Row],[CODIGO]],SALIDAS[[#All],[CANTIDAD ]])</f>
        <v>0</v>
      </c>
      <c r="F67" s="22">
        <v>45000</v>
      </c>
      <c r="G67" s="21">
        <v>0</v>
      </c>
    </row>
    <row r="68" spans="1:7" x14ac:dyDescent="0.25">
      <c r="A68" s="38">
        <v>67</v>
      </c>
      <c r="B68" s="24" t="s">
        <v>276</v>
      </c>
      <c r="C68" s="23">
        <v>1</v>
      </c>
      <c r="D68" s="23">
        <f>SUMIF(ENTRADAS[[#All],[CODIGO]],PRODUCTOS[[#This Row],[CODIGO]],ENTRADAS[[#All],[CANTIDAD]])</f>
        <v>0</v>
      </c>
      <c r="E68" s="20">
        <f>SUMIF(SALIDAS[[#All],[CODIGO]],PRODUCTOS[[#This Row],[CODIGO]],SALIDAS[[#All],[CANTIDAD ]])</f>
        <v>0</v>
      </c>
      <c r="F68" s="22">
        <v>150000</v>
      </c>
      <c r="G68" s="21">
        <v>0</v>
      </c>
    </row>
    <row r="69" spans="1:7" x14ac:dyDescent="0.25">
      <c r="A69" s="39">
        <v>68</v>
      </c>
      <c r="B69" s="24" t="s">
        <v>275</v>
      </c>
      <c r="C69" s="23">
        <v>2</v>
      </c>
      <c r="D69" s="23">
        <f>SUMIF(ENTRADAS[[#All],[CODIGO]],PRODUCTOS[[#This Row],[CODIGO]],ENTRADAS[[#All],[CANTIDAD]])</f>
        <v>0</v>
      </c>
      <c r="E69" s="20">
        <f>SUMIF(SALIDAS[[#All],[CODIGO]],PRODUCTOS[[#This Row],[CODIGO]],SALIDAS[[#All],[CANTIDAD ]])</f>
        <v>0</v>
      </c>
      <c r="F69" s="22">
        <v>35000</v>
      </c>
      <c r="G69" s="21">
        <v>0</v>
      </c>
    </row>
    <row r="70" spans="1:7" x14ac:dyDescent="0.25">
      <c r="A70" s="38">
        <v>69</v>
      </c>
      <c r="B70" s="24" t="s">
        <v>274</v>
      </c>
      <c r="C70" s="23">
        <v>3</v>
      </c>
      <c r="D70" s="23">
        <f>SUMIF(ENTRADAS[[#All],[CODIGO]],PRODUCTOS[[#This Row],[CODIGO]],ENTRADAS[[#All],[CANTIDAD]])</f>
        <v>0</v>
      </c>
      <c r="E70" s="20">
        <f>SUMIF(SALIDAS[[#All],[CODIGO]],PRODUCTOS[[#This Row],[CODIGO]],SALIDAS[[#All],[CANTIDAD ]])</f>
        <v>0</v>
      </c>
      <c r="F70" s="22">
        <v>58000</v>
      </c>
      <c r="G70" s="21">
        <v>0</v>
      </c>
    </row>
    <row r="71" spans="1:7" x14ac:dyDescent="0.25">
      <c r="A71" s="38">
        <v>70</v>
      </c>
      <c r="B71" s="24" t="s">
        <v>273</v>
      </c>
      <c r="C71" s="23">
        <v>4</v>
      </c>
      <c r="D71" s="23">
        <f>SUMIF(ENTRADAS[[#All],[CODIGO]],PRODUCTOS[[#This Row],[CODIGO]],ENTRADAS[[#All],[CANTIDAD]])</f>
        <v>0</v>
      </c>
      <c r="E71" s="20">
        <f>SUMIF(SALIDAS[[#All],[CODIGO]],PRODUCTOS[[#This Row],[CODIGO]],SALIDAS[[#All],[CANTIDAD ]])</f>
        <v>0</v>
      </c>
      <c r="F71" s="22">
        <v>45000</v>
      </c>
      <c r="G71" s="21">
        <v>0</v>
      </c>
    </row>
    <row r="72" spans="1:7" x14ac:dyDescent="0.25">
      <c r="A72" s="39">
        <v>71</v>
      </c>
      <c r="B72" s="24" t="s">
        <v>272</v>
      </c>
      <c r="C72" s="23">
        <v>1</v>
      </c>
      <c r="D72" s="23">
        <f>SUMIF(ENTRADAS[[#All],[CODIGO]],PRODUCTOS[[#This Row],[CODIGO]],ENTRADAS[[#All],[CANTIDAD]])</f>
        <v>0</v>
      </c>
      <c r="E72" s="20">
        <f>SUMIF(SALIDAS[[#All],[CODIGO]],PRODUCTOS[[#This Row],[CODIGO]],SALIDAS[[#All],[CANTIDAD ]])</f>
        <v>0</v>
      </c>
      <c r="F72" s="22">
        <v>65000</v>
      </c>
      <c r="G72" s="21">
        <v>0</v>
      </c>
    </row>
    <row r="73" spans="1:7" x14ac:dyDescent="0.25">
      <c r="A73" s="38">
        <v>72</v>
      </c>
      <c r="B73" s="24" t="s">
        <v>271</v>
      </c>
      <c r="C73" s="23">
        <v>1</v>
      </c>
      <c r="D73" s="23">
        <f>SUMIF(ENTRADAS[[#All],[CODIGO]],PRODUCTOS[[#This Row],[CODIGO]],ENTRADAS[[#All],[CANTIDAD]])</f>
        <v>0</v>
      </c>
      <c r="E73" s="20">
        <f>SUMIF(SALIDAS[[#All],[CODIGO]],PRODUCTOS[[#This Row],[CODIGO]],SALIDAS[[#All],[CANTIDAD ]])</f>
        <v>0</v>
      </c>
      <c r="F73" s="22">
        <v>140000</v>
      </c>
      <c r="G73" s="21">
        <v>0</v>
      </c>
    </row>
    <row r="74" spans="1:7" x14ac:dyDescent="0.25">
      <c r="A74" s="38">
        <v>73</v>
      </c>
      <c r="B74" s="24" t="s">
        <v>270</v>
      </c>
      <c r="C74" s="23">
        <v>2</v>
      </c>
      <c r="D74" s="23">
        <f>SUMIF(ENTRADAS[[#All],[CODIGO]],PRODUCTOS[[#This Row],[CODIGO]],ENTRADAS[[#All],[CANTIDAD]])</f>
        <v>0</v>
      </c>
      <c r="E74" s="20">
        <f>SUMIF(SALIDAS[[#All],[CODIGO]],PRODUCTOS[[#This Row],[CODIGO]],SALIDAS[[#All],[CANTIDAD ]])</f>
        <v>0</v>
      </c>
      <c r="F74" s="22">
        <v>58000</v>
      </c>
      <c r="G74" s="21">
        <v>0</v>
      </c>
    </row>
    <row r="75" spans="1:7" x14ac:dyDescent="0.25">
      <c r="A75" s="39">
        <v>74</v>
      </c>
      <c r="B75" s="24" t="s">
        <v>269</v>
      </c>
      <c r="C75" s="23">
        <v>1</v>
      </c>
      <c r="D75" s="23">
        <f>SUMIF(ENTRADAS[[#All],[CODIGO]],PRODUCTOS[[#This Row],[CODIGO]],ENTRADAS[[#All],[CANTIDAD]])</f>
        <v>0</v>
      </c>
      <c r="E75" s="20">
        <f>SUMIF(SALIDAS[[#All],[CODIGO]],PRODUCTOS[[#This Row],[CODIGO]],SALIDAS[[#All],[CANTIDAD ]])</f>
        <v>0</v>
      </c>
      <c r="F75" s="22">
        <v>285000</v>
      </c>
      <c r="G75" s="21">
        <v>0</v>
      </c>
    </row>
    <row r="76" spans="1:7" x14ac:dyDescent="0.25">
      <c r="A76" s="38">
        <v>75</v>
      </c>
      <c r="B76" s="24" t="s">
        <v>268</v>
      </c>
      <c r="C76" s="23">
        <v>8</v>
      </c>
      <c r="D76" s="23">
        <f>SUMIF(ENTRADAS[[#All],[CODIGO]],PRODUCTOS[[#This Row],[CODIGO]],ENTRADAS[[#All],[CANTIDAD]])</f>
        <v>0</v>
      </c>
      <c r="E76" s="20">
        <f>SUMIF(SALIDAS[[#All],[CODIGO]],PRODUCTOS[[#This Row],[CODIGO]],SALIDAS[[#All],[CANTIDAD ]])</f>
        <v>0</v>
      </c>
      <c r="F76" s="22">
        <v>95000</v>
      </c>
      <c r="G76" s="21">
        <v>0</v>
      </c>
    </row>
    <row r="77" spans="1:7" x14ac:dyDescent="0.25">
      <c r="A77" s="38">
        <v>76</v>
      </c>
      <c r="B77" s="24" t="s">
        <v>267</v>
      </c>
      <c r="C77" s="23">
        <v>2</v>
      </c>
      <c r="D77" s="23">
        <f>SUMIF(ENTRADAS[[#All],[CODIGO]],PRODUCTOS[[#This Row],[CODIGO]],ENTRADAS[[#All],[CANTIDAD]])</f>
        <v>0</v>
      </c>
      <c r="E77" s="20">
        <f>SUMIF(SALIDAS[[#All],[CODIGO]],PRODUCTOS[[#This Row],[CODIGO]],SALIDAS[[#All],[CANTIDAD ]])</f>
        <v>0</v>
      </c>
      <c r="F77" s="22">
        <v>60000</v>
      </c>
      <c r="G77" s="21">
        <v>0</v>
      </c>
    </row>
    <row r="78" spans="1:7" x14ac:dyDescent="0.25">
      <c r="A78" s="39">
        <v>77</v>
      </c>
      <c r="B78" s="24" t="s">
        <v>266</v>
      </c>
      <c r="C78" s="23">
        <v>2</v>
      </c>
      <c r="D78" s="23">
        <f>SUMIF(ENTRADAS[[#All],[CODIGO]],PRODUCTOS[[#This Row],[CODIGO]],ENTRADAS[[#All],[CANTIDAD]])</f>
        <v>0</v>
      </c>
      <c r="E78" s="20">
        <f>SUMIF(SALIDAS[[#All],[CODIGO]],PRODUCTOS[[#This Row],[CODIGO]],SALIDAS[[#All],[CANTIDAD ]])</f>
        <v>0</v>
      </c>
      <c r="F78" s="22">
        <v>75000</v>
      </c>
      <c r="G78" s="21">
        <v>0</v>
      </c>
    </row>
    <row r="79" spans="1:7" x14ac:dyDescent="0.25">
      <c r="A79" s="38">
        <v>78</v>
      </c>
      <c r="B79" s="24" t="s">
        <v>265</v>
      </c>
      <c r="C79" s="23">
        <v>2</v>
      </c>
      <c r="D79" s="23">
        <f>SUMIF(ENTRADAS[[#All],[CODIGO]],PRODUCTOS[[#This Row],[CODIGO]],ENTRADAS[[#All],[CANTIDAD]])</f>
        <v>0</v>
      </c>
      <c r="E79" s="20">
        <f>SUMIF(SALIDAS[[#All],[CODIGO]],PRODUCTOS[[#This Row],[CODIGO]],SALIDAS[[#All],[CANTIDAD ]])</f>
        <v>0</v>
      </c>
      <c r="F79" s="22">
        <v>80000</v>
      </c>
      <c r="G79" s="21">
        <v>0</v>
      </c>
    </row>
    <row r="80" spans="1:7" x14ac:dyDescent="0.25">
      <c r="A80" s="38">
        <v>79</v>
      </c>
      <c r="B80" s="24" t="s">
        <v>264</v>
      </c>
      <c r="C80" s="23">
        <v>1</v>
      </c>
      <c r="D80" s="23">
        <f>SUMIF(ENTRADAS[[#All],[CODIGO]],PRODUCTOS[[#This Row],[CODIGO]],ENTRADAS[[#All],[CANTIDAD]])</f>
        <v>0</v>
      </c>
      <c r="E80" s="20">
        <f>SUMIF(SALIDAS[[#All],[CODIGO]],PRODUCTOS[[#This Row],[CODIGO]],SALIDAS[[#All],[CANTIDAD ]])</f>
        <v>0</v>
      </c>
      <c r="F80" s="22">
        <v>145000</v>
      </c>
      <c r="G80" s="21">
        <v>0</v>
      </c>
    </row>
    <row r="81" spans="1:7" x14ac:dyDescent="0.25">
      <c r="A81" s="39">
        <v>80</v>
      </c>
      <c r="B81" s="24" t="s">
        <v>263</v>
      </c>
      <c r="C81" s="23">
        <v>1</v>
      </c>
      <c r="D81" s="23">
        <f>SUMIF(ENTRADAS[[#All],[CODIGO]],PRODUCTOS[[#This Row],[CODIGO]],ENTRADAS[[#All],[CANTIDAD]])</f>
        <v>0</v>
      </c>
      <c r="E81" s="20">
        <f>SUMIF(SALIDAS[[#All],[CODIGO]],PRODUCTOS[[#This Row],[CODIGO]],SALIDAS[[#All],[CANTIDAD ]])</f>
        <v>0</v>
      </c>
      <c r="F81" s="22">
        <v>110000</v>
      </c>
      <c r="G81" s="21">
        <v>0</v>
      </c>
    </row>
    <row r="82" spans="1:7" x14ac:dyDescent="0.25">
      <c r="A82" s="38">
        <v>81</v>
      </c>
      <c r="B82" s="24" t="s">
        <v>262</v>
      </c>
      <c r="C82" s="23">
        <v>1</v>
      </c>
      <c r="D82" s="23">
        <f>SUMIF(ENTRADAS[[#All],[CODIGO]],PRODUCTOS[[#This Row],[CODIGO]],ENTRADAS[[#All],[CANTIDAD]])</f>
        <v>0</v>
      </c>
      <c r="E82" s="20">
        <f>SUMIF(SALIDAS[[#All],[CODIGO]],PRODUCTOS[[#This Row],[CODIGO]],SALIDAS[[#All],[CANTIDAD ]])</f>
        <v>0</v>
      </c>
      <c r="F82" s="22">
        <v>57000</v>
      </c>
      <c r="G82" s="21">
        <v>0</v>
      </c>
    </row>
    <row r="83" spans="1:7" x14ac:dyDescent="0.25">
      <c r="A83" s="38">
        <v>82</v>
      </c>
      <c r="B83" s="24" t="s">
        <v>261</v>
      </c>
      <c r="C83" s="23">
        <v>1</v>
      </c>
      <c r="D83" s="23">
        <f>SUMIF(ENTRADAS[[#All],[CODIGO]],PRODUCTOS[[#This Row],[CODIGO]],ENTRADAS[[#All],[CANTIDAD]])</f>
        <v>0</v>
      </c>
      <c r="E83" s="20">
        <f>SUMIF(SALIDAS[[#All],[CODIGO]],PRODUCTOS[[#This Row],[CODIGO]],SALIDAS[[#All],[CANTIDAD ]])</f>
        <v>0</v>
      </c>
      <c r="F83" s="22">
        <v>60000</v>
      </c>
      <c r="G83" s="21">
        <v>0</v>
      </c>
    </row>
    <row r="84" spans="1:7" x14ac:dyDescent="0.25">
      <c r="A84" s="39">
        <v>83</v>
      </c>
      <c r="B84" s="24" t="s">
        <v>260</v>
      </c>
      <c r="C84" s="23">
        <v>1</v>
      </c>
      <c r="D84" s="23">
        <f>SUMIF(ENTRADAS[[#All],[CODIGO]],PRODUCTOS[[#This Row],[CODIGO]],ENTRADAS[[#All],[CANTIDAD]])</f>
        <v>0</v>
      </c>
      <c r="E84" s="20">
        <f>SUMIF(SALIDAS[[#All],[CODIGO]],PRODUCTOS[[#This Row],[CODIGO]],SALIDAS[[#All],[CANTIDAD ]])</f>
        <v>0</v>
      </c>
      <c r="F84" s="22">
        <v>15000</v>
      </c>
      <c r="G84" s="21">
        <v>0</v>
      </c>
    </row>
    <row r="85" spans="1:7" x14ac:dyDescent="0.25">
      <c r="A85" s="38">
        <v>84</v>
      </c>
      <c r="B85" s="24" t="s">
        <v>259</v>
      </c>
      <c r="C85" s="23">
        <v>1</v>
      </c>
      <c r="D85" s="23">
        <f>SUMIF(ENTRADAS[[#All],[CODIGO]],PRODUCTOS[[#This Row],[CODIGO]],ENTRADAS[[#All],[CANTIDAD]])</f>
        <v>0</v>
      </c>
      <c r="E85" s="20">
        <f>SUMIF(SALIDAS[[#All],[CODIGO]],PRODUCTOS[[#This Row],[CODIGO]],SALIDAS[[#All],[CANTIDAD ]])</f>
        <v>0</v>
      </c>
      <c r="F85" s="22">
        <v>40000</v>
      </c>
      <c r="G85" s="21">
        <v>0</v>
      </c>
    </row>
    <row r="86" spans="1:7" x14ac:dyDescent="0.25">
      <c r="A86" s="38">
        <v>85</v>
      </c>
      <c r="B86" s="24" t="s">
        <v>258</v>
      </c>
      <c r="C86" s="23">
        <v>1</v>
      </c>
      <c r="D86" s="23">
        <f>SUMIF(ENTRADAS[[#All],[CODIGO]],PRODUCTOS[[#This Row],[CODIGO]],ENTRADAS[[#All],[CANTIDAD]])</f>
        <v>0</v>
      </c>
      <c r="E86" s="20">
        <f>SUMIF(SALIDAS[[#All],[CODIGO]],PRODUCTOS[[#This Row],[CODIGO]],SALIDAS[[#All],[CANTIDAD ]])</f>
        <v>0</v>
      </c>
      <c r="F86" s="22">
        <v>50000</v>
      </c>
      <c r="G86" s="21">
        <v>0</v>
      </c>
    </row>
    <row r="87" spans="1:7" x14ac:dyDescent="0.25">
      <c r="A87" s="39">
        <v>86</v>
      </c>
      <c r="B87" s="24" t="s">
        <v>257</v>
      </c>
      <c r="C87" s="23">
        <v>21</v>
      </c>
      <c r="D87" s="23">
        <f>SUMIF(ENTRADAS[[#All],[CODIGO]],PRODUCTOS[[#This Row],[CODIGO]],ENTRADAS[[#All],[CANTIDAD]])</f>
        <v>0</v>
      </c>
      <c r="E87" s="20">
        <f>SUMIF(SALIDAS[[#All],[CODIGO]],PRODUCTOS[[#This Row],[CODIGO]],SALIDAS[[#All],[CANTIDAD ]])</f>
        <v>0</v>
      </c>
      <c r="F87" s="22">
        <v>5500</v>
      </c>
      <c r="G87" s="21">
        <v>0</v>
      </c>
    </row>
    <row r="88" spans="1:7" x14ac:dyDescent="0.25">
      <c r="A88" s="38">
        <v>87</v>
      </c>
      <c r="B88" s="24" t="s">
        <v>256</v>
      </c>
      <c r="C88" s="23">
        <v>1</v>
      </c>
      <c r="D88" s="23">
        <f>SUMIF(ENTRADAS[[#All],[CODIGO]],PRODUCTOS[[#This Row],[CODIGO]],ENTRADAS[[#All],[CANTIDAD]])</f>
        <v>0</v>
      </c>
      <c r="E88" s="20">
        <f>SUMIF(SALIDAS[[#All],[CODIGO]],PRODUCTOS[[#This Row],[CODIGO]],SALIDAS[[#All],[CANTIDAD ]])</f>
        <v>0</v>
      </c>
      <c r="F88" s="22">
        <v>25000</v>
      </c>
      <c r="G88" s="21">
        <v>0</v>
      </c>
    </row>
    <row r="89" spans="1:7" x14ac:dyDescent="0.25">
      <c r="A89" s="38">
        <v>88</v>
      </c>
      <c r="B89" s="24" t="s">
        <v>255</v>
      </c>
      <c r="C89" s="23">
        <v>1</v>
      </c>
      <c r="D89" s="23">
        <f>SUMIF(ENTRADAS[[#All],[CODIGO]],PRODUCTOS[[#This Row],[CODIGO]],ENTRADAS[[#All],[CANTIDAD]])</f>
        <v>0</v>
      </c>
      <c r="E89" s="20">
        <f>SUMIF(SALIDAS[[#All],[CODIGO]],PRODUCTOS[[#This Row],[CODIGO]],SALIDAS[[#All],[CANTIDAD ]])</f>
        <v>0</v>
      </c>
      <c r="F89" s="22">
        <v>78000</v>
      </c>
      <c r="G89" s="21">
        <v>0</v>
      </c>
    </row>
    <row r="90" spans="1:7" x14ac:dyDescent="0.25">
      <c r="A90" s="39">
        <v>89</v>
      </c>
      <c r="B90" s="24" t="s">
        <v>254</v>
      </c>
      <c r="C90" s="23">
        <v>2</v>
      </c>
      <c r="D90" s="23">
        <f>SUMIF(ENTRADAS[[#All],[CODIGO]],PRODUCTOS[[#This Row],[CODIGO]],ENTRADAS[[#All],[CANTIDAD]])</f>
        <v>0</v>
      </c>
      <c r="E90" s="20">
        <f>SUMIF(SALIDAS[[#All],[CODIGO]],PRODUCTOS[[#This Row],[CODIGO]],SALIDAS[[#All],[CANTIDAD ]])</f>
        <v>0</v>
      </c>
      <c r="F90" s="22">
        <v>50000</v>
      </c>
      <c r="G90" s="21">
        <v>0</v>
      </c>
    </row>
    <row r="91" spans="1:7" x14ac:dyDescent="0.25">
      <c r="A91" s="38">
        <v>90</v>
      </c>
      <c r="B91" s="24" t="s">
        <v>253</v>
      </c>
      <c r="C91" s="23">
        <v>2</v>
      </c>
      <c r="D91" s="23">
        <f>SUMIF(ENTRADAS[[#All],[CODIGO]],PRODUCTOS[[#This Row],[CODIGO]],ENTRADAS[[#All],[CANTIDAD]])</f>
        <v>0</v>
      </c>
      <c r="E91" s="20">
        <f>SUMIF(SALIDAS[[#All],[CODIGO]],PRODUCTOS[[#This Row],[CODIGO]],SALIDAS[[#All],[CANTIDAD ]])</f>
        <v>0</v>
      </c>
      <c r="F91" s="22">
        <v>70000</v>
      </c>
      <c r="G91" s="21">
        <v>0</v>
      </c>
    </row>
    <row r="92" spans="1:7" x14ac:dyDescent="0.25">
      <c r="A92" s="38">
        <v>91</v>
      </c>
      <c r="B92" s="24" t="s">
        <v>252</v>
      </c>
      <c r="C92" s="23">
        <v>1</v>
      </c>
      <c r="D92" s="23">
        <f>SUMIF(ENTRADAS[[#All],[CODIGO]],PRODUCTOS[[#This Row],[CODIGO]],ENTRADAS[[#All],[CANTIDAD]])</f>
        <v>0</v>
      </c>
      <c r="E92" s="20">
        <f>SUMIF(SALIDAS[[#All],[CODIGO]],PRODUCTOS[[#This Row],[CODIGO]],SALIDAS[[#All],[CANTIDAD ]])</f>
        <v>0</v>
      </c>
      <c r="F92" s="22">
        <v>95000</v>
      </c>
      <c r="G92" s="21">
        <v>0</v>
      </c>
    </row>
    <row r="93" spans="1:7" x14ac:dyDescent="0.25">
      <c r="A93" s="39">
        <v>92</v>
      </c>
      <c r="B93" s="24" t="s">
        <v>251</v>
      </c>
      <c r="C93" s="23">
        <v>1</v>
      </c>
      <c r="D93" s="23">
        <f>SUMIF(ENTRADAS[[#All],[CODIGO]],PRODUCTOS[[#This Row],[CODIGO]],ENTRADAS[[#All],[CANTIDAD]])</f>
        <v>0</v>
      </c>
      <c r="E93" s="20">
        <f>SUMIF(SALIDAS[[#All],[CODIGO]],PRODUCTOS[[#This Row],[CODIGO]],SALIDAS[[#All],[CANTIDAD ]])</f>
        <v>0</v>
      </c>
      <c r="F93" s="22">
        <v>135000</v>
      </c>
      <c r="G93" s="21">
        <v>0</v>
      </c>
    </row>
    <row r="94" spans="1:7" x14ac:dyDescent="0.25">
      <c r="A94" s="38">
        <v>93</v>
      </c>
      <c r="B94" s="24" t="s">
        <v>250</v>
      </c>
      <c r="C94" s="23">
        <v>1</v>
      </c>
      <c r="D94" s="23">
        <f>SUMIF(ENTRADAS[[#All],[CODIGO]],PRODUCTOS[[#This Row],[CODIGO]],ENTRADAS[[#All],[CANTIDAD]])</f>
        <v>0</v>
      </c>
      <c r="E94" s="20">
        <f>SUMIF(SALIDAS[[#All],[CODIGO]],PRODUCTOS[[#This Row],[CODIGO]],SALIDAS[[#All],[CANTIDAD ]])</f>
        <v>0</v>
      </c>
      <c r="F94" s="22">
        <v>95000</v>
      </c>
      <c r="G94" s="21">
        <v>0</v>
      </c>
    </row>
    <row r="95" spans="1:7" x14ac:dyDescent="0.25">
      <c r="A95" s="38">
        <v>94</v>
      </c>
      <c r="B95" s="24" t="s">
        <v>249</v>
      </c>
      <c r="C95" s="23">
        <v>2</v>
      </c>
      <c r="D95" s="23">
        <f>SUMIF(ENTRADAS[[#All],[CODIGO]],PRODUCTOS[[#This Row],[CODIGO]],ENTRADAS[[#All],[CANTIDAD]])</f>
        <v>0</v>
      </c>
      <c r="E95" s="20">
        <f>SUMIF(SALIDAS[[#All],[CODIGO]],PRODUCTOS[[#This Row],[CODIGO]],SALIDAS[[#All],[CANTIDAD ]])</f>
        <v>0</v>
      </c>
      <c r="F95" s="22">
        <v>110000</v>
      </c>
      <c r="G95" s="21">
        <v>0</v>
      </c>
    </row>
    <row r="96" spans="1:7" x14ac:dyDescent="0.25">
      <c r="A96" s="39">
        <v>95</v>
      </c>
      <c r="B96" s="24" t="s">
        <v>248</v>
      </c>
      <c r="C96" s="23">
        <v>1</v>
      </c>
      <c r="D96" s="23">
        <f>SUMIF(ENTRADAS[[#All],[CODIGO]],PRODUCTOS[[#This Row],[CODIGO]],ENTRADAS[[#All],[CANTIDAD]])</f>
        <v>0</v>
      </c>
      <c r="E96" s="20">
        <f>SUMIF(SALIDAS[[#All],[CODIGO]],PRODUCTOS[[#This Row],[CODIGO]],SALIDAS[[#All],[CANTIDAD ]])</f>
        <v>0</v>
      </c>
      <c r="F96" s="22">
        <v>95000</v>
      </c>
      <c r="G96" s="21">
        <v>0</v>
      </c>
    </row>
    <row r="97" spans="1:7" x14ac:dyDescent="0.25">
      <c r="A97" s="38">
        <v>96</v>
      </c>
      <c r="B97" s="24" t="s">
        <v>247</v>
      </c>
      <c r="C97" s="23">
        <v>63</v>
      </c>
      <c r="D97" s="23">
        <f>SUMIF(ENTRADAS[[#All],[CODIGO]],PRODUCTOS[[#This Row],[CODIGO]],ENTRADAS[[#All],[CANTIDAD]])</f>
        <v>0</v>
      </c>
      <c r="E97" s="20">
        <f>SUMIF(SALIDAS[[#All],[CODIGO]],PRODUCTOS[[#This Row],[CODIGO]],SALIDAS[[#All],[CANTIDAD ]])</f>
        <v>0</v>
      </c>
      <c r="F97" s="22">
        <v>7500</v>
      </c>
      <c r="G97" s="21">
        <v>0</v>
      </c>
    </row>
    <row r="98" spans="1:7" x14ac:dyDescent="0.25">
      <c r="A98" s="38">
        <v>97</v>
      </c>
      <c r="B98" s="24" t="s">
        <v>246</v>
      </c>
      <c r="C98" s="23">
        <v>10</v>
      </c>
      <c r="D98" s="23">
        <f>SUMIF(ENTRADAS[[#All],[CODIGO]],PRODUCTOS[[#This Row],[CODIGO]],ENTRADAS[[#All],[CANTIDAD]])</f>
        <v>0</v>
      </c>
      <c r="E98" s="20">
        <f>SUMIF(SALIDAS[[#All],[CODIGO]],PRODUCTOS[[#This Row],[CODIGO]],SALIDAS[[#All],[CANTIDAD ]])</f>
        <v>0</v>
      </c>
      <c r="F98" s="22">
        <v>45000</v>
      </c>
      <c r="G98" s="21">
        <v>0</v>
      </c>
    </row>
    <row r="99" spans="1:7" x14ac:dyDescent="0.25">
      <c r="A99" s="39">
        <v>98</v>
      </c>
      <c r="B99" s="24" t="s">
        <v>245</v>
      </c>
      <c r="C99" s="23">
        <v>31</v>
      </c>
      <c r="D99" s="23">
        <f>SUMIF(ENTRADAS[[#All],[CODIGO]],PRODUCTOS[[#This Row],[CODIGO]],ENTRADAS[[#All],[CANTIDAD]])</f>
        <v>0</v>
      </c>
      <c r="E99" s="20">
        <f>SUMIF(SALIDAS[[#All],[CODIGO]],PRODUCTOS[[#This Row],[CODIGO]],SALIDAS[[#All],[CANTIDAD ]])</f>
        <v>0</v>
      </c>
      <c r="F99" s="22">
        <v>5500</v>
      </c>
      <c r="G99" s="21">
        <v>0</v>
      </c>
    </row>
    <row r="100" spans="1:7" x14ac:dyDescent="0.25">
      <c r="A100" s="38">
        <v>99</v>
      </c>
      <c r="B100" s="24" t="s">
        <v>244</v>
      </c>
      <c r="C100" s="23">
        <v>26</v>
      </c>
      <c r="D100" s="23">
        <f>SUMIF(ENTRADAS[[#All],[CODIGO]],PRODUCTOS[[#This Row],[CODIGO]],ENTRADAS[[#All],[CANTIDAD]])</f>
        <v>0</v>
      </c>
      <c r="E100" s="20">
        <f>SUMIF(SALIDAS[[#All],[CODIGO]],PRODUCTOS[[#This Row],[CODIGO]],SALIDAS[[#All],[CANTIDAD ]])</f>
        <v>0</v>
      </c>
      <c r="F100" s="22">
        <v>5000</v>
      </c>
      <c r="G100" s="21">
        <v>0</v>
      </c>
    </row>
    <row r="101" spans="1:7" x14ac:dyDescent="0.25">
      <c r="A101" s="38">
        <v>100</v>
      </c>
      <c r="B101" s="24" t="s">
        <v>243</v>
      </c>
      <c r="C101" s="23">
        <v>18</v>
      </c>
      <c r="D101" s="23">
        <f>SUMIF(ENTRADAS[[#All],[CODIGO]],PRODUCTOS[[#This Row],[CODIGO]],ENTRADAS[[#All],[CANTIDAD]])</f>
        <v>0</v>
      </c>
      <c r="E101" s="20">
        <f>SUMIF(SALIDAS[[#All],[CODIGO]],PRODUCTOS[[#This Row],[CODIGO]],SALIDAS[[#All],[CANTIDAD ]])</f>
        <v>0</v>
      </c>
      <c r="F101" s="22">
        <v>3500</v>
      </c>
      <c r="G101" s="21">
        <v>0</v>
      </c>
    </row>
    <row r="102" spans="1:7" x14ac:dyDescent="0.25">
      <c r="A102" s="39">
        <v>101</v>
      </c>
      <c r="B102" s="24" t="s">
        <v>242</v>
      </c>
      <c r="C102" s="23">
        <v>3</v>
      </c>
      <c r="D102" s="23">
        <f>SUMIF(ENTRADAS[[#All],[CODIGO]],PRODUCTOS[[#This Row],[CODIGO]],ENTRADAS[[#All],[CANTIDAD]])</f>
        <v>0</v>
      </c>
      <c r="E102" s="20">
        <f>SUMIF(SALIDAS[[#All],[CODIGO]],PRODUCTOS[[#This Row],[CODIGO]],SALIDAS[[#All],[CANTIDAD ]])</f>
        <v>0</v>
      </c>
      <c r="F102" s="22">
        <v>40000</v>
      </c>
      <c r="G102" s="21">
        <v>0</v>
      </c>
    </row>
    <row r="103" spans="1:7" x14ac:dyDescent="0.25">
      <c r="A103" s="38">
        <v>102</v>
      </c>
      <c r="B103" s="24" t="s">
        <v>241</v>
      </c>
      <c r="C103" s="23">
        <v>35</v>
      </c>
      <c r="D103" s="23">
        <f>SUMIF(ENTRADAS[[#All],[CODIGO]],PRODUCTOS[[#This Row],[CODIGO]],ENTRADAS[[#All],[CANTIDAD]])</f>
        <v>0</v>
      </c>
      <c r="E103" s="20">
        <f>SUMIF(SALIDAS[[#All],[CODIGO]],PRODUCTOS[[#This Row],[CODIGO]],SALIDAS[[#All],[CANTIDAD ]])</f>
        <v>0</v>
      </c>
      <c r="F103" s="22">
        <v>1000</v>
      </c>
      <c r="G103" s="21">
        <v>0</v>
      </c>
    </row>
    <row r="104" spans="1:7" x14ac:dyDescent="0.25">
      <c r="A104" s="38">
        <v>103</v>
      </c>
      <c r="B104" s="24" t="s">
        <v>240</v>
      </c>
      <c r="C104" s="23">
        <v>2</v>
      </c>
      <c r="D104" s="23">
        <f>SUMIF(ENTRADAS[[#All],[CODIGO]],PRODUCTOS[[#This Row],[CODIGO]],ENTRADAS[[#All],[CANTIDAD]])</f>
        <v>0</v>
      </c>
      <c r="E104" s="20">
        <f>SUMIF(SALIDAS[[#All],[CODIGO]],PRODUCTOS[[#This Row],[CODIGO]],SALIDAS[[#All],[CANTIDAD ]])</f>
        <v>0</v>
      </c>
      <c r="F104" s="22">
        <v>25000</v>
      </c>
      <c r="G104" s="21">
        <v>0</v>
      </c>
    </row>
    <row r="105" spans="1:7" x14ac:dyDescent="0.25">
      <c r="A105" s="39">
        <v>104</v>
      </c>
      <c r="B105" s="24" t="s">
        <v>239</v>
      </c>
      <c r="C105" s="23">
        <v>7</v>
      </c>
      <c r="D105" s="23">
        <f>SUMIF(ENTRADAS[[#All],[CODIGO]],PRODUCTOS[[#This Row],[CODIGO]],ENTRADAS[[#All],[CANTIDAD]])</f>
        <v>0</v>
      </c>
      <c r="E105" s="20">
        <f>SUMIF(SALIDAS[[#All],[CODIGO]],PRODUCTOS[[#This Row],[CODIGO]],SALIDAS[[#All],[CANTIDAD ]])</f>
        <v>0</v>
      </c>
      <c r="F105" s="22">
        <v>35000</v>
      </c>
      <c r="G105" s="21">
        <v>0</v>
      </c>
    </row>
    <row r="106" spans="1:7" x14ac:dyDescent="0.25">
      <c r="A106" s="38">
        <v>105</v>
      </c>
      <c r="B106" s="24" t="s">
        <v>238</v>
      </c>
      <c r="C106" s="23">
        <v>3</v>
      </c>
      <c r="D106" s="23">
        <f>SUMIF(ENTRADAS[[#All],[CODIGO]],PRODUCTOS[[#This Row],[CODIGO]],ENTRADAS[[#All],[CANTIDAD]])</f>
        <v>0</v>
      </c>
      <c r="E106" s="20">
        <f>SUMIF(SALIDAS[[#All],[CODIGO]],PRODUCTOS[[#This Row],[CODIGO]],SALIDAS[[#All],[CANTIDAD ]])</f>
        <v>0</v>
      </c>
      <c r="F106" s="22">
        <v>30000</v>
      </c>
      <c r="G106" s="21">
        <v>0</v>
      </c>
    </row>
    <row r="107" spans="1:7" x14ac:dyDescent="0.25">
      <c r="A107" s="38">
        <v>106</v>
      </c>
      <c r="B107" s="24" t="s">
        <v>237</v>
      </c>
      <c r="C107" s="23">
        <v>2</v>
      </c>
      <c r="D107" s="23">
        <f>SUMIF(ENTRADAS[[#All],[CODIGO]],PRODUCTOS[[#This Row],[CODIGO]],ENTRADAS[[#All],[CANTIDAD]])</f>
        <v>0</v>
      </c>
      <c r="E107" s="20">
        <f>SUMIF(SALIDAS[[#All],[CODIGO]],PRODUCTOS[[#This Row],[CODIGO]],SALIDAS[[#All],[CANTIDAD ]])</f>
        <v>0</v>
      </c>
      <c r="F107" s="22">
        <v>95000</v>
      </c>
      <c r="G107" s="21">
        <v>0</v>
      </c>
    </row>
    <row r="108" spans="1:7" x14ac:dyDescent="0.25">
      <c r="A108" s="39">
        <v>107</v>
      </c>
      <c r="B108" s="24" t="s">
        <v>236</v>
      </c>
      <c r="C108" s="23">
        <v>1</v>
      </c>
      <c r="D108" s="23">
        <f>SUMIF(ENTRADAS[[#All],[CODIGO]],PRODUCTOS[[#This Row],[CODIGO]],ENTRADAS[[#All],[CANTIDAD]])</f>
        <v>0</v>
      </c>
      <c r="E108" s="20">
        <f>SUMIF(SALIDAS[[#All],[CODIGO]],PRODUCTOS[[#This Row],[CODIGO]],SALIDAS[[#All],[CANTIDAD ]])</f>
        <v>0</v>
      </c>
      <c r="F108" s="22">
        <v>140000</v>
      </c>
      <c r="G108" s="21">
        <v>0</v>
      </c>
    </row>
    <row r="109" spans="1:7" x14ac:dyDescent="0.25">
      <c r="A109" s="38">
        <v>108</v>
      </c>
      <c r="B109" s="24" t="s">
        <v>235</v>
      </c>
      <c r="C109" s="23">
        <v>1</v>
      </c>
      <c r="D109" s="23">
        <f>SUMIF(ENTRADAS[[#All],[CODIGO]],PRODUCTOS[[#This Row],[CODIGO]],ENTRADAS[[#All],[CANTIDAD]])</f>
        <v>0</v>
      </c>
      <c r="E109" s="20">
        <f>SUMIF(SALIDAS[[#All],[CODIGO]],PRODUCTOS[[#This Row],[CODIGO]],SALIDAS[[#All],[CANTIDAD ]])</f>
        <v>0</v>
      </c>
      <c r="F109" s="22">
        <v>55000</v>
      </c>
      <c r="G109" s="21">
        <v>0</v>
      </c>
    </row>
    <row r="110" spans="1:7" x14ac:dyDescent="0.25">
      <c r="A110" s="38">
        <v>109</v>
      </c>
      <c r="B110" s="24" t="s">
        <v>234</v>
      </c>
      <c r="C110" s="23">
        <v>1</v>
      </c>
      <c r="D110" s="23">
        <f>SUMIF(ENTRADAS[[#All],[CODIGO]],PRODUCTOS[[#This Row],[CODIGO]],ENTRADAS[[#All],[CANTIDAD]])</f>
        <v>0</v>
      </c>
      <c r="E110" s="20">
        <f>SUMIF(SALIDAS[[#All],[CODIGO]],PRODUCTOS[[#This Row],[CODIGO]],SALIDAS[[#All],[CANTIDAD ]])</f>
        <v>0</v>
      </c>
      <c r="F110" s="22">
        <v>65000</v>
      </c>
      <c r="G110" s="21">
        <v>0</v>
      </c>
    </row>
    <row r="111" spans="1:7" x14ac:dyDescent="0.25">
      <c r="A111" s="39">
        <v>110</v>
      </c>
      <c r="B111" s="24" t="s">
        <v>233</v>
      </c>
      <c r="C111" s="23">
        <v>4</v>
      </c>
      <c r="D111" s="23">
        <f>SUMIF(ENTRADAS[[#All],[CODIGO]],PRODUCTOS[[#This Row],[CODIGO]],ENTRADAS[[#All],[CANTIDAD]])</f>
        <v>0</v>
      </c>
      <c r="E111" s="20">
        <f>SUMIF(SALIDAS[[#All],[CODIGO]],PRODUCTOS[[#This Row],[CODIGO]],SALIDAS[[#All],[CANTIDAD ]])</f>
        <v>0</v>
      </c>
      <c r="F111" s="22">
        <v>5000</v>
      </c>
      <c r="G111" s="21">
        <v>0</v>
      </c>
    </row>
    <row r="112" spans="1:7" x14ac:dyDescent="0.25">
      <c r="A112" s="38">
        <v>111</v>
      </c>
      <c r="B112" s="24" t="s">
        <v>232</v>
      </c>
      <c r="C112" s="23">
        <v>1</v>
      </c>
      <c r="D112" s="23">
        <f>SUMIF(ENTRADAS[[#All],[CODIGO]],PRODUCTOS[[#This Row],[CODIGO]],ENTRADAS[[#All],[CANTIDAD]])</f>
        <v>0</v>
      </c>
      <c r="E112" s="20">
        <f>SUMIF(SALIDAS[[#All],[CODIGO]],PRODUCTOS[[#This Row],[CODIGO]],SALIDAS[[#All],[CANTIDAD ]])</f>
        <v>0</v>
      </c>
      <c r="F112" s="22">
        <v>210000</v>
      </c>
      <c r="G112" s="21">
        <v>0</v>
      </c>
    </row>
    <row r="113" spans="1:7" x14ac:dyDescent="0.25">
      <c r="A113" s="38">
        <v>112</v>
      </c>
      <c r="B113" s="24" t="s">
        <v>231</v>
      </c>
      <c r="C113" s="23">
        <v>8</v>
      </c>
      <c r="D113" s="23">
        <f>SUMIF(ENTRADAS[[#All],[CODIGO]],PRODUCTOS[[#This Row],[CODIGO]],ENTRADAS[[#All],[CANTIDAD]])</f>
        <v>0</v>
      </c>
      <c r="E113" s="20">
        <f>SUMIF(SALIDAS[[#All],[CODIGO]],PRODUCTOS[[#This Row],[CODIGO]],SALIDAS[[#All],[CANTIDAD ]])</f>
        <v>0</v>
      </c>
      <c r="F113" s="22">
        <v>3000</v>
      </c>
      <c r="G113" s="21">
        <v>0</v>
      </c>
    </row>
    <row r="114" spans="1:7" x14ac:dyDescent="0.25">
      <c r="A114" s="39">
        <v>113</v>
      </c>
      <c r="B114" s="24" t="s">
        <v>230</v>
      </c>
      <c r="C114" s="23">
        <v>5</v>
      </c>
      <c r="D114" s="23">
        <f>SUMIF(ENTRADAS[[#All],[CODIGO]],PRODUCTOS[[#This Row],[CODIGO]],ENTRADAS[[#All],[CANTIDAD]])</f>
        <v>0</v>
      </c>
      <c r="E114" s="20">
        <f>SUMIF(SALIDAS[[#All],[CODIGO]],PRODUCTOS[[#This Row],[CODIGO]],SALIDAS[[#All],[CANTIDAD ]])</f>
        <v>0</v>
      </c>
      <c r="F114" s="22">
        <v>2000</v>
      </c>
      <c r="G114" s="21">
        <v>0</v>
      </c>
    </row>
    <row r="115" spans="1:7" x14ac:dyDescent="0.25">
      <c r="A115" s="38">
        <v>114</v>
      </c>
      <c r="B115" s="24" t="s">
        <v>229</v>
      </c>
      <c r="C115" s="23">
        <v>3</v>
      </c>
      <c r="D115" s="23">
        <f>SUMIF(ENTRADAS[[#All],[CODIGO]],PRODUCTOS[[#This Row],[CODIGO]],ENTRADAS[[#All],[CANTIDAD]])</f>
        <v>0</v>
      </c>
      <c r="E115" s="20">
        <f>SUMIF(SALIDAS[[#All],[CODIGO]],PRODUCTOS[[#This Row],[CODIGO]],SALIDAS[[#All],[CANTIDAD ]])</f>
        <v>0</v>
      </c>
      <c r="F115" s="22">
        <v>60000</v>
      </c>
      <c r="G115" s="21">
        <v>0</v>
      </c>
    </row>
    <row r="116" spans="1:7" x14ac:dyDescent="0.25">
      <c r="A116" s="38">
        <v>115</v>
      </c>
      <c r="B116" s="24" t="s">
        <v>228</v>
      </c>
      <c r="C116" s="23">
        <v>1</v>
      </c>
      <c r="D116" s="23">
        <f>SUMIF(ENTRADAS[[#All],[CODIGO]],PRODUCTOS[[#This Row],[CODIGO]],ENTRADAS[[#All],[CANTIDAD]])</f>
        <v>0</v>
      </c>
      <c r="E116" s="20">
        <f>SUMIF(SALIDAS[[#All],[CODIGO]],PRODUCTOS[[#This Row],[CODIGO]],SALIDAS[[#All],[CANTIDAD ]])</f>
        <v>0</v>
      </c>
      <c r="F116" s="22">
        <v>95000</v>
      </c>
      <c r="G116" s="21">
        <v>0</v>
      </c>
    </row>
    <row r="117" spans="1:7" x14ac:dyDescent="0.25">
      <c r="A117" s="39">
        <v>116</v>
      </c>
      <c r="B117" s="24" t="s">
        <v>227</v>
      </c>
      <c r="C117" s="23">
        <v>1</v>
      </c>
      <c r="D117" s="23">
        <f>SUMIF(ENTRADAS[[#All],[CODIGO]],PRODUCTOS[[#This Row],[CODIGO]],ENTRADAS[[#All],[CANTIDAD]])</f>
        <v>0</v>
      </c>
      <c r="E117" s="20">
        <f>SUMIF(SALIDAS[[#All],[CODIGO]],PRODUCTOS[[#This Row],[CODIGO]],SALIDAS[[#All],[CANTIDAD ]])</f>
        <v>0</v>
      </c>
      <c r="F117" s="22">
        <v>15000</v>
      </c>
      <c r="G117" s="21">
        <v>0</v>
      </c>
    </row>
    <row r="118" spans="1:7" x14ac:dyDescent="0.25">
      <c r="A118" s="38">
        <v>117</v>
      </c>
      <c r="B118" s="24" t="s">
        <v>226</v>
      </c>
      <c r="C118" s="23">
        <v>2</v>
      </c>
      <c r="D118" s="23">
        <f>SUMIF(ENTRADAS[[#All],[CODIGO]],PRODUCTOS[[#This Row],[CODIGO]],ENTRADAS[[#All],[CANTIDAD]])</f>
        <v>0</v>
      </c>
      <c r="E118" s="20">
        <f>SUMIF(SALIDAS[[#All],[CODIGO]],PRODUCTOS[[#This Row],[CODIGO]],SALIDAS[[#All],[CANTIDAD ]])</f>
        <v>0</v>
      </c>
      <c r="F118" s="22">
        <v>38000</v>
      </c>
      <c r="G118" s="21">
        <v>0</v>
      </c>
    </row>
    <row r="119" spans="1:7" x14ac:dyDescent="0.25">
      <c r="A119" s="38">
        <v>118</v>
      </c>
      <c r="B119" s="24" t="s">
        <v>225</v>
      </c>
      <c r="C119" s="23">
        <v>2</v>
      </c>
      <c r="D119" s="23">
        <f>SUMIF(ENTRADAS[[#All],[CODIGO]],PRODUCTOS[[#This Row],[CODIGO]],ENTRADAS[[#All],[CANTIDAD]])</f>
        <v>0</v>
      </c>
      <c r="E119" s="20">
        <f>SUMIF(SALIDAS[[#All],[CODIGO]],PRODUCTOS[[#This Row],[CODIGO]],SALIDAS[[#All],[CANTIDAD ]])</f>
        <v>0</v>
      </c>
      <c r="F119" s="22">
        <v>18000</v>
      </c>
      <c r="G119" s="21">
        <v>0</v>
      </c>
    </row>
    <row r="120" spans="1:7" x14ac:dyDescent="0.25">
      <c r="A120" s="39">
        <v>119</v>
      </c>
      <c r="B120" s="24" t="s">
        <v>224</v>
      </c>
      <c r="C120" s="23">
        <v>1</v>
      </c>
      <c r="D120" s="23">
        <f>SUMIF(ENTRADAS[[#All],[CODIGO]],PRODUCTOS[[#This Row],[CODIGO]],ENTRADAS[[#All],[CANTIDAD]])</f>
        <v>0</v>
      </c>
      <c r="E120" s="20">
        <f>SUMIF(SALIDAS[[#All],[CODIGO]],PRODUCTOS[[#This Row],[CODIGO]],SALIDAS[[#All],[CANTIDAD ]])</f>
        <v>0</v>
      </c>
      <c r="F120" s="22">
        <v>350000</v>
      </c>
      <c r="G120" s="21">
        <v>450000</v>
      </c>
    </row>
    <row r="121" spans="1:7" x14ac:dyDescent="0.25">
      <c r="A121" s="38">
        <v>120</v>
      </c>
      <c r="B121" s="24" t="s">
        <v>223</v>
      </c>
      <c r="C121" s="23">
        <v>1</v>
      </c>
      <c r="D121" s="23">
        <f>SUMIF(ENTRADAS[[#All],[CODIGO]],PRODUCTOS[[#This Row],[CODIGO]],ENTRADAS[[#All],[CANTIDAD]])</f>
        <v>0</v>
      </c>
      <c r="E121" s="20">
        <f>SUMIF(SALIDAS[[#All],[CODIGO]],PRODUCTOS[[#This Row],[CODIGO]],SALIDAS[[#All],[CANTIDAD ]])</f>
        <v>0</v>
      </c>
      <c r="F121" s="22">
        <v>280000</v>
      </c>
      <c r="G121" s="21">
        <v>340000</v>
      </c>
    </row>
    <row r="122" spans="1:7" x14ac:dyDescent="0.25">
      <c r="A122" s="38">
        <v>121</v>
      </c>
      <c r="B122" s="24" t="s">
        <v>222</v>
      </c>
      <c r="C122" s="23">
        <v>1</v>
      </c>
      <c r="D122" s="23">
        <f>SUMIF(ENTRADAS[[#All],[CODIGO]],PRODUCTOS[[#This Row],[CODIGO]],ENTRADAS[[#All],[CANTIDAD]])</f>
        <v>0</v>
      </c>
      <c r="E122" s="20">
        <f>SUMIF(SALIDAS[[#All],[CODIGO]],PRODUCTOS[[#This Row],[CODIGO]],SALIDAS[[#All],[CANTIDAD ]])</f>
        <v>0</v>
      </c>
      <c r="F122" s="22">
        <v>350000</v>
      </c>
      <c r="G122" s="21">
        <v>450000</v>
      </c>
    </row>
    <row r="123" spans="1:7" x14ac:dyDescent="0.25">
      <c r="A123" s="39">
        <v>122</v>
      </c>
      <c r="B123" s="24" t="s">
        <v>221</v>
      </c>
      <c r="C123" s="23">
        <v>0</v>
      </c>
      <c r="D123" s="23">
        <f>SUMIF(ENTRADAS[[#All],[CODIGO]],PRODUCTOS[[#This Row],[CODIGO]],ENTRADAS[[#All],[CANTIDAD]])</f>
        <v>0</v>
      </c>
      <c r="E123" s="20">
        <f>SUMIF(SALIDAS[[#All],[CODIGO]],PRODUCTOS[[#This Row],[CODIGO]],SALIDAS[[#All],[CANTIDAD ]])</f>
        <v>0</v>
      </c>
      <c r="F123" s="22">
        <v>150000</v>
      </c>
      <c r="G123" s="21">
        <v>0</v>
      </c>
    </row>
    <row r="124" spans="1:7" x14ac:dyDescent="0.25">
      <c r="A124" s="38">
        <v>123</v>
      </c>
      <c r="B124" s="24" t="s">
        <v>220</v>
      </c>
      <c r="C124" s="23">
        <v>2</v>
      </c>
      <c r="D124" s="23">
        <f>SUMIF(ENTRADAS[[#All],[CODIGO]],PRODUCTOS[[#This Row],[CODIGO]],ENTRADAS[[#All],[CANTIDAD]])</f>
        <v>0</v>
      </c>
      <c r="E124" s="20">
        <f>SUMIF(SALIDAS[[#All],[CODIGO]],PRODUCTOS[[#This Row],[CODIGO]],SALIDAS[[#All],[CANTIDAD ]])</f>
        <v>0</v>
      </c>
      <c r="F124" s="22">
        <v>250000</v>
      </c>
      <c r="G124" s="21">
        <v>0</v>
      </c>
    </row>
    <row r="125" spans="1:7" x14ac:dyDescent="0.25">
      <c r="A125" s="38">
        <v>124</v>
      </c>
      <c r="B125" s="24" t="s">
        <v>219</v>
      </c>
      <c r="C125" s="23">
        <v>1</v>
      </c>
      <c r="D125" s="23">
        <f>SUMIF(ENTRADAS[[#All],[CODIGO]],PRODUCTOS[[#This Row],[CODIGO]],ENTRADAS[[#All],[CANTIDAD]])</f>
        <v>0</v>
      </c>
      <c r="E125" s="20">
        <f>SUMIF(SALIDAS[[#All],[CODIGO]],PRODUCTOS[[#This Row],[CODIGO]],SALIDAS[[#All],[CANTIDAD ]])</f>
        <v>0</v>
      </c>
      <c r="F125" s="22">
        <v>320000</v>
      </c>
      <c r="G125" s="21">
        <v>0</v>
      </c>
    </row>
    <row r="126" spans="1:7" x14ac:dyDescent="0.25">
      <c r="A126" s="39">
        <v>125</v>
      </c>
      <c r="B126" s="24" t="s">
        <v>218</v>
      </c>
      <c r="C126" s="23">
        <v>2</v>
      </c>
      <c r="D126" s="23">
        <f>SUMIF(ENTRADAS[[#All],[CODIGO]],PRODUCTOS[[#This Row],[CODIGO]],ENTRADAS[[#All],[CANTIDAD]])</f>
        <v>0</v>
      </c>
      <c r="E126" s="20">
        <f>SUMIF(SALIDAS[[#All],[CODIGO]],PRODUCTOS[[#This Row],[CODIGO]],SALIDAS[[#All],[CANTIDAD ]])</f>
        <v>0</v>
      </c>
      <c r="F126" s="22">
        <v>55000</v>
      </c>
      <c r="G126" s="21">
        <v>0</v>
      </c>
    </row>
    <row r="127" spans="1:7" x14ac:dyDescent="0.25">
      <c r="A127" s="38">
        <v>126</v>
      </c>
      <c r="B127" s="24" t="s">
        <v>217</v>
      </c>
      <c r="C127" s="23">
        <v>2</v>
      </c>
      <c r="D127" s="23">
        <f>SUMIF(ENTRADAS[[#All],[CODIGO]],PRODUCTOS[[#This Row],[CODIGO]],ENTRADAS[[#All],[CANTIDAD]])</f>
        <v>0</v>
      </c>
      <c r="E127" s="20">
        <f>SUMIF(SALIDAS[[#All],[CODIGO]],PRODUCTOS[[#This Row],[CODIGO]],SALIDAS[[#All],[CANTIDAD ]])</f>
        <v>0</v>
      </c>
      <c r="F127" s="22">
        <v>110000</v>
      </c>
      <c r="G127" s="21">
        <v>0</v>
      </c>
    </row>
    <row r="128" spans="1:7" x14ac:dyDescent="0.25">
      <c r="A128" s="38">
        <v>127</v>
      </c>
      <c r="B128" s="24" t="s">
        <v>216</v>
      </c>
      <c r="C128" s="23">
        <v>1</v>
      </c>
      <c r="D128" s="23">
        <f>SUMIF(ENTRADAS[[#All],[CODIGO]],PRODUCTOS[[#This Row],[CODIGO]],ENTRADAS[[#All],[CANTIDAD]])</f>
        <v>0</v>
      </c>
      <c r="E128" s="20">
        <f>SUMIF(SALIDAS[[#All],[CODIGO]],PRODUCTOS[[#This Row],[CODIGO]],SALIDAS[[#All],[CANTIDAD ]])</f>
        <v>0</v>
      </c>
      <c r="F128" s="22">
        <v>200000</v>
      </c>
      <c r="G128" s="21">
        <v>0</v>
      </c>
    </row>
    <row r="129" spans="1:7" x14ac:dyDescent="0.25">
      <c r="A129" s="39">
        <v>128</v>
      </c>
      <c r="B129" s="24" t="s">
        <v>215</v>
      </c>
      <c r="C129" s="23">
        <v>2</v>
      </c>
      <c r="D129" s="23">
        <f>SUMIF(ENTRADAS[[#All],[CODIGO]],PRODUCTOS[[#This Row],[CODIGO]],ENTRADAS[[#All],[CANTIDAD]])</f>
        <v>0</v>
      </c>
      <c r="E129" s="20">
        <f>SUMIF(SALIDAS[[#All],[CODIGO]],PRODUCTOS[[#This Row],[CODIGO]],SALIDAS[[#All],[CANTIDAD ]])</f>
        <v>0</v>
      </c>
      <c r="F129" s="22">
        <v>98000</v>
      </c>
      <c r="G129" s="21">
        <v>0</v>
      </c>
    </row>
    <row r="130" spans="1:7" x14ac:dyDescent="0.25">
      <c r="A130" s="38">
        <v>129</v>
      </c>
      <c r="B130" s="24" t="s">
        <v>214</v>
      </c>
      <c r="C130" s="23">
        <v>1</v>
      </c>
      <c r="D130" s="23">
        <f>SUMIF(ENTRADAS[[#All],[CODIGO]],PRODUCTOS[[#This Row],[CODIGO]],ENTRADAS[[#All],[CANTIDAD]])</f>
        <v>0</v>
      </c>
      <c r="E130" s="20">
        <f>SUMIF(SALIDAS[[#All],[CODIGO]],PRODUCTOS[[#This Row],[CODIGO]],SALIDAS[[#All],[CANTIDAD ]])</f>
        <v>0</v>
      </c>
      <c r="F130" s="22">
        <v>90000</v>
      </c>
      <c r="G130" s="21">
        <v>0</v>
      </c>
    </row>
    <row r="131" spans="1:7" x14ac:dyDescent="0.25">
      <c r="A131" s="38">
        <v>130</v>
      </c>
      <c r="B131" s="24" t="s">
        <v>213</v>
      </c>
      <c r="C131" s="23">
        <v>1</v>
      </c>
      <c r="D131" s="23">
        <f>SUMIF(ENTRADAS[[#All],[CODIGO]],PRODUCTOS[[#This Row],[CODIGO]],ENTRADAS[[#All],[CANTIDAD]])</f>
        <v>0</v>
      </c>
      <c r="E131" s="20">
        <f>SUMIF(SALIDAS[[#All],[CODIGO]],PRODUCTOS[[#This Row],[CODIGO]],SALIDAS[[#All],[CANTIDAD ]])</f>
        <v>0</v>
      </c>
      <c r="F131" s="22">
        <v>50000</v>
      </c>
      <c r="G131" s="21">
        <v>0</v>
      </c>
    </row>
    <row r="132" spans="1:7" x14ac:dyDescent="0.25">
      <c r="A132" s="39">
        <v>131</v>
      </c>
      <c r="B132" s="24" t="s">
        <v>212</v>
      </c>
      <c r="C132" s="23">
        <v>7</v>
      </c>
      <c r="D132" s="23">
        <f>SUMIF(ENTRADAS[[#All],[CODIGO]],PRODUCTOS[[#This Row],[CODIGO]],ENTRADAS[[#All],[CANTIDAD]])</f>
        <v>0</v>
      </c>
      <c r="E132" s="20">
        <f>SUMIF(SALIDAS[[#All],[CODIGO]],PRODUCTOS[[#This Row],[CODIGO]],SALIDAS[[#All],[CANTIDAD ]])</f>
        <v>0</v>
      </c>
      <c r="F132" s="22">
        <v>27000</v>
      </c>
      <c r="G132" s="21">
        <v>0</v>
      </c>
    </row>
    <row r="133" spans="1:7" x14ac:dyDescent="0.25">
      <c r="A133" s="38">
        <v>132</v>
      </c>
      <c r="B133" s="24" t="s">
        <v>211</v>
      </c>
      <c r="C133" s="23">
        <v>5</v>
      </c>
      <c r="D133" s="23">
        <f>SUMIF(ENTRADAS[[#All],[CODIGO]],PRODUCTOS[[#This Row],[CODIGO]],ENTRADAS[[#All],[CANTIDAD]])</f>
        <v>0</v>
      </c>
      <c r="E133" s="20">
        <f>SUMIF(SALIDAS[[#All],[CODIGO]],PRODUCTOS[[#This Row],[CODIGO]],SALIDAS[[#All],[CANTIDAD ]])</f>
        <v>0</v>
      </c>
      <c r="F133" s="22">
        <v>125000</v>
      </c>
      <c r="G133" s="21">
        <v>0</v>
      </c>
    </row>
    <row r="134" spans="1:7" x14ac:dyDescent="0.25">
      <c r="A134" s="38">
        <v>133</v>
      </c>
      <c r="B134" s="24" t="s">
        <v>210</v>
      </c>
      <c r="C134" s="23">
        <v>2</v>
      </c>
      <c r="D134" s="23">
        <f>SUMIF(ENTRADAS[[#All],[CODIGO]],PRODUCTOS[[#This Row],[CODIGO]],ENTRADAS[[#All],[CANTIDAD]])</f>
        <v>0</v>
      </c>
      <c r="E134" s="20">
        <f>SUMIF(SALIDAS[[#All],[CODIGO]],PRODUCTOS[[#This Row],[CODIGO]],SALIDAS[[#All],[CANTIDAD ]])</f>
        <v>0</v>
      </c>
      <c r="F134" s="22">
        <v>110000</v>
      </c>
      <c r="G134" s="21">
        <v>0</v>
      </c>
    </row>
    <row r="135" spans="1:7" x14ac:dyDescent="0.25">
      <c r="A135" s="39">
        <v>134</v>
      </c>
      <c r="B135" s="24" t="s">
        <v>209</v>
      </c>
      <c r="C135" s="23">
        <v>3</v>
      </c>
      <c r="D135" s="23">
        <f>SUMIF(ENTRADAS[[#All],[CODIGO]],PRODUCTOS[[#This Row],[CODIGO]],ENTRADAS[[#All],[CANTIDAD]])</f>
        <v>0</v>
      </c>
      <c r="E135" s="20">
        <f>SUMIF(SALIDAS[[#All],[CODIGO]],PRODUCTOS[[#This Row],[CODIGO]],SALIDAS[[#All],[CANTIDAD ]])</f>
        <v>0</v>
      </c>
      <c r="F135" s="22">
        <v>95000</v>
      </c>
      <c r="G135" s="21">
        <v>0</v>
      </c>
    </row>
    <row r="136" spans="1:7" x14ac:dyDescent="0.25">
      <c r="A136" s="38">
        <v>135</v>
      </c>
      <c r="B136" s="24" t="s">
        <v>208</v>
      </c>
      <c r="C136" s="23">
        <v>2</v>
      </c>
      <c r="D136" s="23">
        <f>SUMIF(ENTRADAS[[#All],[CODIGO]],PRODUCTOS[[#This Row],[CODIGO]],ENTRADAS[[#All],[CANTIDAD]])</f>
        <v>0</v>
      </c>
      <c r="E136" s="20">
        <f>SUMIF(SALIDAS[[#All],[CODIGO]],PRODUCTOS[[#This Row],[CODIGO]],SALIDAS[[#All],[CANTIDAD ]])</f>
        <v>0</v>
      </c>
      <c r="F136" s="22">
        <v>98000</v>
      </c>
      <c r="G136" s="21">
        <v>0</v>
      </c>
    </row>
    <row r="137" spans="1:7" x14ac:dyDescent="0.25">
      <c r="A137" s="38">
        <v>136</v>
      </c>
      <c r="B137" s="24" t="s">
        <v>207</v>
      </c>
      <c r="C137" s="23">
        <v>2</v>
      </c>
      <c r="D137" s="23">
        <f>SUMIF(ENTRADAS[[#All],[CODIGO]],PRODUCTOS[[#This Row],[CODIGO]],ENTRADAS[[#All],[CANTIDAD]])</f>
        <v>0</v>
      </c>
      <c r="E137" s="20">
        <f>SUMIF(SALIDAS[[#All],[CODIGO]],PRODUCTOS[[#This Row],[CODIGO]],SALIDAS[[#All],[CANTIDAD ]])</f>
        <v>0</v>
      </c>
      <c r="F137" s="22">
        <v>98000</v>
      </c>
      <c r="G137" s="21">
        <v>0</v>
      </c>
    </row>
    <row r="138" spans="1:7" x14ac:dyDescent="0.25">
      <c r="A138" s="39">
        <v>137</v>
      </c>
      <c r="B138" s="24" t="s">
        <v>206</v>
      </c>
      <c r="C138" s="23">
        <v>1</v>
      </c>
      <c r="D138" s="23">
        <f>SUMIF(ENTRADAS[[#All],[CODIGO]],PRODUCTOS[[#This Row],[CODIGO]],ENTRADAS[[#All],[CANTIDAD]])</f>
        <v>0</v>
      </c>
      <c r="E138" s="20">
        <f>SUMIF(SALIDAS[[#All],[CODIGO]],PRODUCTOS[[#This Row],[CODIGO]],SALIDAS[[#All],[CANTIDAD ]])</f>
        <v>0</v>
      </c>
      <c r="F138" s="22">
        <v>65000</v>
      </c>
      <c r="G138" s="21">
        <v>0</v>
      </c>
    </row>
    <row r="139" spans="1:7" x14ac:dyDescent="0.25">
      <c r="A139" s="38">
        <v>138</v>
      </c>
      <c r="B139" s="24" t="s">
        <v>205</v>
      </c>
      <c r="C139" s="23">
        <v>2</v>
      </c>
      <c r="D139" s="23">
        <f>SUMIF(ENTRADAS[[#All],[CODIGO]],PRODUCTOS[[#This Row],[CODIGO]],ENTRADAS[[#All],[CANTIDAD]])</f>
        <v>0</v>
      </c>
      <c r="E139" s="20">
        <f>SUMIF(SALIDAS[[#All],[CODIGO]],PRODUCTOS[[#This Row],[CODIGO]],SALIDAS[[#All],[CANTIDAD ]])</f>
        <v>0</v>
      </c>
      <c r="F139" s="22">
        <v>73000</v>
      </c>
      <c r="G139" s="21">
        <v>0</v>
      </c>
    </row>
    <row r="140" spans="1:7" x14ac:dyDescent="0.25">
      <c r="A140" s="38">
        <v>139</v>
      </c>
      <c r="B140" s="24" t="s">
        <v>204</v>
      </c>
      <c r="C140" s="23">
        <v>12</v>
      </c>
      <c r="D140" s="23">
        <f>SUMIF(ENTRADAS[[#All],[CODIGO]],PRODUCTOS[[#This Row],[CODIGO]],ENTRADAS[[#All],[CANTIDAD]])</f>
        <v>0</v>
      </c>
      <c r="E140" s="20">
        <f>SUMIF(SALIDAS[[#All],[CODIGO]],PRODUCTOS[[#This Row],[CODIGO]],SALIDAS[[#All],[CANTIDAD ]])</f>
        <v>0</v>
      </c>
      <c r="F140" s="22">
        <v>59000</v>
      </c>
      <c r="G140" s="21">
        <v>0</v>
      </c>
    </row>
    <row r="141" spans="1:7" x14ac:dyDescent="0.25">
      <c r="A141" s="39">
        <v>140</v>
      </c>
      <c r="B141" s="24" t="s">
        <v>203</v>
      </c>
      <c r="C141" s="23">
        <v>1</v>
      </c>
      <c r="D141" s="23">
        <f>SUMIF(ENTRADAS[[#All],[CODIGO]],PRODUCTOS[[#This Row],[CODIGO]],ENTRADAS[[#All],[CANTIDAD]])</f>
        <v>0</v>
      </c>
      <c r="E141" s="20">
        <f>SUMIF(SALIDAS[[#All],[CODIGO]],PRODUCTOS[[#This Row],[CODIGO]],SALIDAS[[#All],[CANTIDAD ]])</f>
        <v>0</v>
      </c>
      <c r="F141" s="22">
        <v>30000</v>
      </c>
      <c r="G141" s="21">
        <v>0</v>
      </c>
    </row>
    <row r="142" spans="1:7" x14ac:dyDescent="0.25">
      <c r="A142" s="38">
        <v>141</v>
      </c>
      <c r="B142" s="24" t="s">
        <v>202</v>
      </c>
      <c r="C142" s="23">
        <v>24</v>
      </c>
      <c r="D142" s="23">
        <f>SUMIF(ENTRADAS[[#All],[CODIGO]],PRODUCTOS[[#This Row],[CODIGO]],ENTRADAS[[#All],[CANTIDAD]])</f>
        <v>0</v>
      </c>
      <c r="E142" s="20">
        <f>SUMIF(SALIDAS[[#All],[CODIGO]],PRODUCTOS[[#This Row],[CODIGO]],SALIDAS[[#All],[CANTIDAD ]])</f>
        <v>0</v>
      </c>
      <c r="F142" s="22">
        <v>5000</v>
      </c>
      <c r="G142" s="21">
        <v>0</v>
      </c>
    </row>
    <row r="143" spans="1:7" x14ac:dyDescent="0.25">
      <c r="A143" s="38">
        <v>142</v>
      </c>
      <c r="B143" s="24" t="s">
        <v>201</v>
      </c>
      <c r="C143" s="23">
        <v>16</v>
      </c>
      <c r="D143" s="23">
        <f>SUMIF(ENTRADAS[[#All],[CODIGO]],PRODUCTOS[[#This Row],[CODIGO]],ENTRADAS[[#All],[CANTIDAD]])</f>
        <v>0</v>
      </c>
      <c r="E143" s="20">
        <f>SUMIF(SALIDAS[[#All],[CODIGO]],PRODUCTOS[[#This Row],[CODIGO]],SALIDAS[[#All],[CANTIDAD ]])</f>
        <v>0</v>
      </c>
      <c r="F143" s="22">
        <v>4500</v>
      </c>
      <c r="G143" s="21">
        <v>0</v>
      </c>
    </row>
    <row r="144" spans="1:7" x14ac:dyDescent="0.25">
      <c r="A144" s="39">
        <v>143</v>
      </c>
      <c r="B144" s="24" t="s">
        <v>393</v>
      </c>
      <c r="C144" s="23">
        <v>50</v>
      </c>
      <c r="D144" s="23">
        <f>SUMIF(ENTRADAS[[#All],[CODIGO]],PRODUCTOS[[#This Row],[CODIGO]],ENTRADAS[[#All],[CANTIDAD]])</f>
        <v>0</v>
      </c>
      <c r="E144" s="20">
        <f>SUMIF(SALIDAS[[#All],[CODIGO]],PRODUCTOS[[#This Row],[CODIGO]],SALIDAS[[#All],[CANTIDAD ]])</f>
        <v>0</v>
      </c>
      <c r="F144" s="22">
        <v>5000</v>
      </c>
      <c r="G144" s="21">
        <v>0</v>
      </c>
    </row>
    <row r="145" spans="1:7" x14ac:dyDescent="0.25">
      <c r="A145" s="38">
        <v>144</v>
      </c>
      <c r="B145" s="24" t="s">
        <v>391</v>
      </c>
      <c r="C145" s="23">
        <v>16</v>
      </c>
      <c r="D145" s="23">
        <f>SUMIF(ENTRADAS[[#All],[CODIGO]],PRODUCTOS[[#This Row],[CODIGO]],ENTRADAS[[#All],[CANTIDAD]])</f>
        <v>0</v>
      </c>
      <c r="E145" s="20">
        <f>SUMIF(SALIDAS[[#All],[CODIGO]],PRODUCTOS[[#This Row],[CODIGO]],SALIDAS[[#All],[CANTIDAD ]])</f>
        <v>0</v>
      </c>
      <c r="F145" s="22">
        <v>4500</v>
      </c>
      <c r="G145" s="21">
        <v>0</v>
      </c>
    </row>
    <row r="146" spans="1:7" x14ac:dyDescent="0.25">
      <c r="A146" s="38">
        <v>145</v>
      </c>
      <c r="B146" s="24" t="s">
        <v>200</v>
      </c>
      <c r="C146" s="23">
        <v>10</v>
      </c>
      <c r="D146" s="23">
        <f>SUMIF(ENTRADAS[[#All],[CODIGO]],PRODUCTOS[[#This Row],[CODIGO]],ENTRADAS[[#All],[CANTIDAD]])</f>
        <v>0</v>
      </c>
      <c r="E146" s="20">
        <f>SUMIF(SALIDAS[[#All],[CODIGO]],PRODUCTOS[[#This Row],[CODIGO]],SALIDAS[[#All],[CANTIDAD ]])</f>
        <v>0</v>
      </c>
      <c r="F146" s="22">
        <v>4500</v>
      </c>
      <c r="G146" s="21">
        <v>0</v>
      </c>
    </row>
    <row r="147" spans="1:7" x14ac:dyDescent="0.25">
      <c r="A147" s="39">
        <v>146</v>
      </c>
      <c r="B147" s="24" t="s">
        <v>199</v>
      </c>
      <c r="C147" s="23">
        <v>11</v>
      </c>
      <c r="D147" s="23">
        <f>SUMIF(ENTRADAS[[#All],[CODIGO]],PRODUCTOS[[#This Row],[CODIGO]],ENTRADAS[[#All],[CANTIDAD]])</f>
        <v>0</v>
      </c>
      <c r="E147" s="20">
        <f>SUMIF(SALIDAS[[#All],[CODIGO]],PRODUCTOS[[#This Row],[CODIGO]],SALIDAS[[#All],[CANTIDAD ]])</f>
        <v>0</v>
      </c>
      <c r="F147" s="22">
        <v>3500</v>
      </c>
      <c r="G147" s="21">
        <v>0</v>
      </c>
    </row>
    <row r="148" spans="1:7" x14ac:dyDescent="0.25">
      <c r="A148" s="38">
        <v>147</v>
      </c>
      <c r="B148" s="24" t="s">
        <v>198</v>
      </c>
      <c r="C148" s="23">
        <v>11</v>
      </c>
      <c r="D148" s="23">
        <f>SUMIF(ENTRADAS[[#All],[CODIGO]],PRODUCTOS[[#This Row],[CODIGO]],ENTRADAS[[#All],[CANTIDAD]])</f>
        <v>0</v>
      </c>
      <c r="E148" s="20">
        <f>SUMIF(SALIDAS[[#All],[CODIGO]],PRODUCTOS[[#This Row],[CODIGO]],SALIDAS[[#All],[CANTIDAD ]])</f>
        <v>0</v>
      </c>
      <c r="F148" s="22">
        <v>4000</v>
      </c>
      <c r="G148" s="21">
        <v>0</v>
      </c>
    </row>
    <row r="149" spans="1:7" x14ac:dyDescent="0.25">
      <c r="A149" s="38">
        <v>148</v>
      </c>
      <c r="B149" s="24" t="s">
        <v>197</v>
      </c>
      <c r="C149" s="23">
        <v>1</v>
      </c>
      <c r="D149" s="23">
        <f>SUMIF(ENTRADAS[[#All],[CODIGO]],PRODUCTOS[[#This Row],[CODIGO]],ENTRADAS[[#All],[CANTIDAD]])</f>
        <v>0</v>
      </c>
      <c r="E149" s="20">
        <f>SUMIF(SALIDAS[[#All],[CODIGO]],PRODUCTOS[[#This Row],[CODIGO]],SALIDAS[[#All],[CANTIDAD ]])</f>
        <v>0</v>
      </c>
      <c r="F149" s="22">
        <v>12000</v>
      </c>
      <c r="G149" s="21">
        <v>0</v>
      </c>
    </row>
    <row r="150" spans="1:7" x14ac:dyDescent="0.25">
      <c r="A150" s="39">
        <v>149</v>
      </c>
      <c r="B150" s="24" t="s">
        <v>392</v>
      </c>
      <c r="C150" s="23">
        <v>9</v>
      </c>
      <c r="D150" s="23">
        <f>SUMIF(ENTRADAS[[#All],[CODIGO]],PRODUCTOS[[#This Row],[CODIGO]],ENTRADAS[[#All],[CANTIDAD]])</f>
        <v>0</v>
      </c>
      <c r="E150" s="20">
        <f>SUMIF(SALIDAS[[#All],[CODIGO]],PRODUCTOS[[#This Row],[CODIGO]],SALIDAS[[#All],[CANTIDAD ]])</f>
        <v>0</v>
      </c>
      <c r="F150" s="22">
        <v>8500</v>
      </c>
      <c r="G150" s="21">
        <v>0</v>
      </c>
    </row>
    <row r="151" spans="1:7" x14ac:dyDescent="0.25">
      <c r="A151" s="38">
        <v>150</v>
      </c>
      <c r="B151" s="24" t="s">
        <v>196</v>
      </c>
      <c r="C151" s="23">
        <v>1</v>
      </c>
      <c r="D151" s="23">
        <f>SUMIF(ENTRADAS[[#All],[CODIGO]],PRODUCTOS[[#This Row],[CODIGO]],ENTRADAS[[#All],[CANTIDAD]])</f>
        <v>0</v>
      </c>
      <c r="E151" s="20">
        <f>SUMIF(SALIDAS[[#All],[CODIGO]],PRODUCTOS[[#This Row],[CODIGO]],SALIDAS[[#All],[CANTIDAD ]])</f>
        <v>0</v>
      </c>
      <c r="F151" s="22">
        <v>5000</v>
      </c>
      <c r="G151" s="21">
        <v>0</v>
      </c>
    </row>
    <row r="152" spans="1:7" x14ac:dyDescent="0.25">
      <c r="A152" s="38">
        <v>151</v>
      </c>
      <c r="B152" s="24" t="s">
        <v>195</v>
      </c>
      <c r="C152" s="23">
        <v>3</v>
      </c>
      <c r="D152" s="23">
        <f>SUMIF(ENTRADAS[[#All],[CODIGO]],PRODUCTOS[[#This Row],[CODIGO]],ENTRADAS[[#All],[CANTIDAD]])</f>
        <v>0</v>
      </c>
      <c r="E152" s="20">
        <f>SUMIF(SALIDAS[[#All],[CODIGO]],PRODUCTOS[[#This Row],[CODIGO]],SALIDAS[[#All],[CANTIDAD ]])</f>
        <v>0</v>
      </c>
      <c r="F152" s="22">
        <v>6500</v>
      </c>
      <c r="G152" s="21">
        <v>0</v>
      </c>
    </row>
    <row r="153" spans="1:7" x14ac:dyDescent="0.25">
      <c r="A153" s="39">
        <v>152</v>
      </c>
      <c r="B153" s="24" t="s">
        <v>194</v>
      </c>
      <c r="C153" s="23">
        <v>2</v>
      </c>
      <c r="D153" s="23">
        <f>SUMIF(ENTRADAS[[#All],[CODIGO]],PRODUCTOS[[#This Row],[CODIGO]],ENTRADAS[[#All],[CANTIDAD]])</f>
        <v>0</v>
      </c>
      <c r="E153" s="20">
        <f>SUMIF(SALIDAS[[#All],[CODIGO]],PRODUCTOS[[#This Row],[CODIGO]],SALIDAS[[#All],[CANTIDAD ]])</f>
        <v>0</v>
      </c>
      <c r="F153" s="22">
        <v>3000</v>
      </c>
      <c r="G153" s="21">
        <v>0</v>
      </c>
    </row>
    <row r="154" spans="1:7" x14ac:dyDescent="0.25">
      <c r="A154" s="38">
        <v>153</v>
      </c>
      <c r="B154" s="24" t="s">
        <v>193</v>
      </c>
      <c r="C154" s="23">
        <v>7</v>
      </c>
      <c r="D154" s="23">
        <f>SUMIF(ENTRADAS[[#All],[CODIGO]],PRODUCTOS[[#This Row],[CODIGO]],ENTRADAS[[#All],[CANTIDAD]])</f>
        <v>0</v>
      </c>
      <c r="E154" s="20">
        <f>SUMIF(SALIDAS[[#All],[CODIGO]],PRODUCTOS[[#This Row],[CODIGO]],SALIDAS[[#All],[CANTIDAD ]])</f>
        <v>0</v>
      </c>
      <c r="F154" s="22">
        <v>8000</v>
      </c>
      <c r="G154" s="21">
        <v>0</v>
      </c>
    </row>
    <row r="155" spans="1:7" x14ac:dyDescent="0.25">
      <c r="A155" s="38">
        <v>154</v>
      </c>
      <c r="B155" s="24" t="s">
        <v>192</v>
      </c>
      <c r="C155" s="23">
        <v>40</v>
      </c>
      <c r="D155" s="23">
        <f>SUMIF(ENTRADAS[[#All],[CODIGO]],PRODUCTOS[[#This Row],[CODIGO]],ENTRADAS[[#All],[CANTIDAD]])</f>
        <v>0</v>
      </c>
      <c r="E155" s="20">
        <f>SUMIF(SALIDAS[[#All],[CODIGO]],PRODUCTOS[[#This Row],[CODIGO]],SALIDAS[[#All],[CANTIDAD ]])</f>
        <v>0</v>
      </c>
      <c r="F155" s="22">
        <v>9500</v>
      </c>
      <c r="G155" s="21">
        <v>0</v>
      </c>
    </row>
    <row r="156" spans="1:7" x14ac:dyDescent="0.25">
      <c r="A156" s="39">
        <v>155</v>
      </c>
      <c r="B156" s="24" t="s">
        <v>191</v>
      </c>
      <c r="C156" s="23">
        <v>24</v>
      </c>
      <c r="D156" s="23">
        <f>SUMIF(ENTRADAS[[#All],[CODIGO]],PRODUCTOS[[#This Row],[CODIGO]],ENTRADAS[[#All],[CANTIDAD]])</f>
        <v>0</v>
      </c>
      <c r="E156" s="20">
        <f>SUMIF(SALIDAS[[#All],[CODIGO]],PRODUCTOS[[#This Row],[CODIGO]],SALIDAS[[#All],[CANTIDAD ]])</f>
        <v>0</v>
      </c>
      <c r="F156" s="22">
        <v>12000</v>
      </c>
      <c r="G156" s="21">
        <v>0</v>
      </c>
    </row>
    <row r="157" spans="1:7" x14ac:dyDescent="0.25">
      <c r="A157" s="38">
        <v>156</v>
      </c>
      <c r="B157" s="24" t="s">
        <v>190</v>
      </c>
      <c r="C157" s="23">
        <v>25</v>
      </c>
      <c r="D157" s="23">
        <f>SUMIF(ENTRADAS[[#All],[CODIGO]],PRODUCTOS[[#This Row],[CODIGO]],ENTRADAS[[#All],[CANTIDAD]])</f>
        <v>0</v>
      </c>
      <c r="E157" s="20">
        <f>SUMIF(SALIDAS[[#All],[CODIGO]],PRODUCTOS[[#This Row],[CODIGO]],SALIDAS[[#All],[CANTIDAD ]])</f>
        <v>0</v>
      </c>
      <c r="F157" s="22">
        <v>12000</v>
      </c>
      <c r="G157" s="21">
        <v>0</v>
      </c>
    </row>
    <row r="158" spans="1:7" x14ac:dyDescent="0.25">
      <c r="A158" s="38">
        <v>157</v>
      </c>
      <c r="B158" s="24" t="s">
        <v>189</v>
      </c>
      <c r="C158" s="23">
        <v>2</v>
      </c>
      <c r="D158" s="23">
        <f>SUMIF(ENTRADAS[[#All],[CODIGO]],PRODUCTOS[[#This Row],[CODIGO]],ENTRADAS[[#All],[CANTIDAD]])</f>
        <v>0</v>
      </c>
      <c r="E158" s="20">
        <f>SUMIF(SALIDAS[[#All],[CODIGO]],PRODUCTOS[[#This Row],[CODIGO]],SALIDAS[[#All],[CANTIDAD ]])</f>
        <v>0</v>
      </c>
      <c r="F158" s="22">
        <v>3000</v>
      </c>
      <c r="G158" s="21">
        <v>0</v>
      </c>
    </row>
    <row r="159" spans="1:7" x14ac:dyDescent="0.25">
      <c r="A159" s="39">
        <v>158</v>
      </c>
      <c r="B159" s="24" t="s">
        <v>188</v>
      </c>
      <c r="C159" s="23">
        <v>1</v>
      </c>
      <c r="D159" s="23">
        <f>SUMIF(ENTRADAS[[#All],[CODIGO]],PRODUCTOS[[#This Row],[CODIGO]],ENTRADAS[[#All],[CANTIDAD]])</f>
        <v>0</v>
      </c>
      <c r="E159" s="20">
        <f>SUMIF(SALIDAS[[#All],[CODIGO]],PRODUCTOS[[#This Row],[CODIGO]],SALIDAS[[#All],[CANTIDAD ]])</f>
        <v>0</v>
      </c>
      <c r="F159" s="22">
        <v>5000</v>
      </c>
      <c r="G159" s="21">
        <v>0</v>
      </c>
    </row>
    <row r="160" spans="1:7" x14ac:dyDescent="0.25">
      <c r="A160" s="38">
        <v>159</v>
      </c>
      <c r="B160" s="24" t="s">
        <v>187</v>
      </c>
      <c r="C160" s="23">
        <v>78</v>
      </c>
      <c r="D160" s="23">
        <f>SUMIF(ENTRADAS[[#All],[CODIGO]],PRODUCTOS[[#This Row],[CODIGO]],ENTRADAS[[#All],[CANTIDAD]])</f>
        <v>0</v>
      </c>
      <c r="E160" s="20">
        <f>SUMIF(SALIDAS[[#All],[CODIGO]],PRODUCTOS[[#This Row],[CODIGO]],SALIDAS[[#All],[CANTIDAD ]])</f>
        <v>0</v>
      </c>
      <c r="F160" s="22">
        <v>6700</v>
      </c>
      <c r="G160" s="21">
        <v>0</v>
      </c>
    </row>
    <row r="161" spans="1:7" x14ac:dyDescent="0.25">
      <c r="A161" s="38">
        <v>160</v>
      </c>
      <c r="B161" s="24" t="s">
        <v>186</v>
      </c>
      <c r="C161" s="23">
        <v>2</v>
      </c>
      <c r="D161" s="23">
        <f>SUMIF(ENTRADAS[[#All],[CODIGO]],PRODUCTOS[[#This Row],[CODIGO]],ENTRADAS[[#All],[CANTIDAD]])</f>
        <v>0</v>
      </c>
      <c r="E161" s="20">
        <f>SUMIF(SALIDAS[[#All],[CODIGO]],PRODUCTOS[[#This Row],[CODIGO]],SALIDAS[[#All],[CANTIDAD ]])</f>
        <v>0</v>
      </c>
      <c r="F161" s="22">
        <v>5800</v>
      </c>
      <c r="G161" s="21">
        <v>0</v>
      </c>
    </row>
    <row r="162" spans="1:7" x14ac:dyDescent="0.25">
      <c r="A162" s="39">
        <v>161</v>
      </c>
      <c r="B162" s="24" t="s">
        <v>185</v>
      </c>
      <c r="C162" s="23">
        <v>11</v>
      </c>
      <c r="D162" s="23">
        <f>SUMIF(ENTRADAS[[#All],[CODIGO]],PRODUCTOS[[#This Row],[CODIGO]],ENTRADAS[[#All],[CANTIDAD]])</f>
        <v>0</v>
      </c>
      <c r="E162" s="20">
        <f>SUMIF(SALIDAS[[#All],[CODIGO]],PRODUCTOS[[#This Row],[CODIGO]],SALIDAS[[#All],[CANTIDAD ]])</f>
        <v>0</v>
      </c>
      <c r="F162" s="22">
        <v>7000</v>
      </c>
      <c r="G162" s="21">
        <v>0</v>
      </c>
    </row>
    <row r="163" spans="1:7" x14ac:dyDescent="0.25">
      <c r="A163" s="38">
        <v>162</v>
      </c>
      <c r="B163" s="24" t="s">
        <v>184</v>
      </c>
      <c r="C163" s="23">
        <v>20</v>
      </c>
      <c r="D163" s="23">
        <f>SUMIF(ENTRADAS[[#All],[CODIGO]],PRODUCTOS[[#This Row],[CODIGO]],ENTRADAS[[#All],[CANTIDAD]])</f>
        <v>0</v>
      </c>
      <c r="E163" s="20">
        <f>SUMIF(SALIDAS[[#All],[CODIGO]],PRODUCTOS[[#This Row],[CODIGO]],SALIDAS[[#All],[CANTIDAD ]])</f>
        <v>0</v>
      </c>
      <c r="F163" s="22">
        <v>9500</v>
      </c>
      <c r="G163" s="21">
        <v>0</v>
      </c>
    </row>
    <row r="164" spans="1:7" x14ac:dyDescent="0.25">
      <c r="A164" s="38">
        <v>163</v>
      </c>
      <c r="B164" s="24" t="s">
        <v>183</v>
      </c>
      <c r="C164" s="23">
        <v>15</v>
      </c>
      <c r="D164" s="23">
        <f>SUMIF(ENTRADAS[[#All],[CODIGO]],PRODUCTOS[[#This Row],[CODIGO]],ENTRADAS[[#All],[CANTIDAD]])</f>
        <v>0</v>
      </c>
      <c r="E164" s="20">
        <f>SUMIF(SALIDAS[[#All],[CODIGO]],PRODUCTOS[[#This Row],[CODIGO]],SALIDAS[[#All],[CANTIDAD ]])</f>
        <v>0</v>
      </c>
      <c r="F164" s="22">
        <v>8000</v>
      </c>
      <c r="G164" s="21">
        <v>0</v>
      </c>
    </row>
    <row r="165" spans="1:7" x14ac:dyDescent="0.25">
      <c r="A165" s="39">
        <v>164</v>
      </c>
      <c r="B165" s="24" t="s">
        <v>182</v>
      </c>
      <c r="C165" s="23">
        <v>23</v>
      </c>
      <c r="D165" s="23">
        <f>SUMIF(ENTRADAS[[#All],[CODIGO]],PRODUCTOS[[#This Row],[CODIGO]],ENTRADAS[[#All],[CANTIDAD]])</f>
        <v>0</v>
      </c>
      <c r="E165" s="20">
        <f>SUMIF(SALIDAS[[#All],[CODIGO]],PRODUCTOS[[#This Row],[CODIGO]],SALIDAS[[#All],[CANTIDAD ]])</f>
        <v>0</v>
      </c>
      <c r="F165" s="22">
        <v>8000</v>
      </c>
      <c r="G165" s="21">
        <v>0</v>
      </c>
    </row>
    <row r="166" spans="1:7" x14ac:dyDescent="0.25">
      <c r="A166" s="38">
        <v>165</v>
      </c>
      <c r="B166" s="24" t="s">
        <v>388</v>
      </c>
      <c r="C166" s="23">
        <v>6</v>
      </c>
      <c r="D166" s="23">
        <f>SUMIF(ENTRADAS[[#All],[CODIGO]],PRODUCTOS[[#This Row],[CODIGO]],ENTRADAS[[#All],[CANTIDAD]])</f>
        <v>0</v>
      </c>
      <c r="E166" s="20">
        <f>SUMIF(SALIDAS[[#All],[CODIGO]],PRODUCTOS[[#This Row],[CODIGO]],SALIDAS[[#All],[CANTIDAD ]])</f>
        <v>0</v>
      </c>
      <c r="F166" s="22">
        <v>4000</v>
      </c>
      <c r="G166" s="21">
        <v>0</v>
      </c>
    </row>
    <row r="167" spans="1:7" x14ac:dyDescent="0.25">
      <c r="A167" s="38">
        <v>166</v>
      </c>
      <c r="B167" s="24" t="s">
        <v>181</v>
      </c>
      <c r="C167" s="23">
        <v>36</v>
      </c>
      <c r="D167" s="23">
        <f>SUMIF(ENTRADAS[[#All],[CODIGO]],PRODUCTOS[[#This Row],[CODIGO]],ENTRADAS[[#All],[CANTIDAD]])</f>
        <v>0</v>
      </c>
      <c r="E167" s="20">
        <f>SUMIF(SALIDAS[[#All],[CODIGO]],PRODUCTOS[[#This Row],[CODIGO]],SALIDAS[[#All],[CANTIDAD ]])</f>
        <v>0</v>
      </c>
      <c r="F167" s="22">
        <v>6000</v>
      </c>
      <c r="G167" s="21">
        <v>0</v>
      </c>
    </row>
    <row r="168" spans="1:7" x14ac:dyDescent="0.25">
      <c r="A168" s="39">
        <v>167</v>
      </c>
      <c r="B168" s="24" t="s">
        <v>180</v>
      </c>
      <c r="C168" s="23">
        <v>1</v>
      </c>
      <c r="D168" s="23">
        <f>SUMIF(ENTRADAS[[#All],[CODIGO]],PRODUCTOS[[#This Row],[CODIGO]],ENTRADAS[[#All],[CANTIDAD]])</f>
        <v>0</v>
      </c>
      <c r="E168" s="20">
        <f>SUMIF(SALIDAS[[#All],[CODIGO]],PRODUCTOS[[#This Row],[CODIGO]],SALIDAS[[#All],[CANTIDAD ]])</f>
        <v>0</v>
      </c>
      <c r="F168" s="22">
        <v>5000</v>
      </c>
      <c r="G168" s="21">
        <v>0</v>
      </c>
    </row>
    <row r="169" spans="1:7" x14ac:dyDescent="0.25">
      <c r="A169" s="38">
        <v>168</v>
      </c>
      <c r="B169" s="24" t="s">
        <v>390</v>
      </c>
      <c r="C169" s="23">
        <v>11</v>
      </c>
      <c r="D169" s="23">
        <f>SUMIF(ENTRADAS[[#All],[CODIGO]],PRODUCTOS[[#This Row],[CODIGO]],ENTRADAS[[#All],[CANTIDAD]])</f>
        <v>0</v>
      </c>
      <c r="E169" s="20">
        <f>SUMIF(SALIDAS[[#All],[CODIGO]],PRODUCTOS[[#This Row],[CODIGO]],SALIDAS[[#All],[CANTIDAD ]])</f>
        <v>0</v>
      </c>
      <c r="F169" s="22">
        <v>6000</v>
      </c>
      <c r="G169" s="21">
        <v>0</v>
      </c>
    </row>
    <row r="170" spans="1:7" x14ac:dyDescent="0.25">
      <c r="A170" s="38">
        <v>169</v>
      </c>
      <c r="B170" s="24" t="s">
        <v>179</v>
      </c>
      <c r="C170" s="23">
        <v>7</v>
      </c>
      <c r="D170" s="23">
        <f>SUMIF(ENTRADAS[[#All],[CODIGO]],PRODUCTOS[[#This Row],[CODIGO]],ENTRADAS[[#All],[CANTIDAD]])</f>
        <v>0</v>
      </c>
      <c r="E170" s="20">
        <f>SUMIF(SALIDAS[[#All],[CODIGO]],PRODUCTOS[[#This Row],[CODIGO]],SALIDAS[[#All],[CANTIDAD ]])</f>
        <v>0</v>
      </c>
      <c r="F170" s="22">
        <v>3000</v>
      </c>
      <c r="G170" s="21">
        <v>0</v>
      </c>
    </row>
    <row r="171" spans="1:7" x14ac:dyDescent="0.25">
      <c r="A171" s="39">
        <v>170</v>
      </c>
      <c r="B171" s="24" t="s">
        <v>178</v>
      </c>
      <c r="C171" s="23">
        <v>1</v>
      </c>
      <c r="D171" s="23">
        <f>SUMIF(ENTRADAS[[#All],[CODIGO]],PRODUCTOS[[#This Row],[CODIGO]],ENTRADAS[[#All],[CANTIDAD]])</f>
        <v>0</v>
      </c>
      <c r="E171" s="20">
        <f>SUMIF(SALIDAS[[#All],[CODIGO]],PRODUCTOS[[#This Row],[CODIGO]],SALIDAS[[#All],[CANTIDAD ]])</f>
        <v>0</v>
      </c>
      <c r="F171" s="22">
        <v>2000</v>
      </c>
      <c r="G171" s="21">
        <v>0</v>
      </c>
    </row>
    <row r="172" spans="1:7" x14ac:dyDescent="0.25">
      <c r="A172" s="38">
        <v>171</v>
      </c>
      <c r="B172" s="24" t="s">
        <v>177</v>
      </c>
      <c r="C172" s="23">
        <v>2</v>
      </c>
      <c r="D172" s="23">
        <f>SUMIF(ENTRADAS[[#All],[CODIGO]],PRODUCTOS[[#This Row],[CODIGO]],ENTRADAS[[#All],[CANTIDAD]])</f>
        <v>0</v>
      </c>
      <c r="E172" s="20">
        <f>SUMIF(SALIDAS[[#All],[CODIGO]],PRODUCTOS[[#This Row],[CODIGO]],SALIDAS[[#All],[CANTIDAD ]])</f>
        <v>0</v>
      </c>
      <c r="F172" s="22">
        <v>4000</v>
      </c>
      <c r="G172" s="21">
        <v>0</v>
      </c>
    </row>
    <row r="173" spans="1:7" x14ac:dyDescent="0.25">
      <c r="A173" s="38">
        <v>172</v>
      </c>
      <c r="B173" s="24" t="s">
        <v>176</v>
      </c>
      <c r="C173" s="23">
        <v>23</v>
      </c>
      <c r="D173" s="23">
        <f>SUMIF(ENTRADAS[[#All],[CODIGO]],PRODUCTOS[[#This Row],[CODIGO]],ENTRADAS[[#All],[CANTIDAD]])</f>
        <v>0</v>
      </c>
      <c r="E173" s="20">
        <f>SUMIF(SALIDAS[[#All],[CODIGO]],PRODUCTOS[[#This Row],[CODIGO]],SALIDAS[[#All],[CANTIDAD ]])</f>
        <v>0</v>
      </c>
      <c r="F173" s="22">
        <v>9000</v>
      </c>
      <c r="G173" s="21">
        <v>0</v>
      </c>
    </row>
    <row r="174" spans="1:7" x14ac:dyDescent="0.25">
      <c r="A174" s="39">
        <v>173</v>
      </c>
      <c r="B174" s="24" t="s">
        <v>175</v>
      </c>
      <c r="C174" s="23">
        <v>4</v>
      </c>
      <c r="D174" s="23">
        <f>SUMIF(ENTRADAS[[#All],[CODIGO]],PRODUCTOS[[#This Row],[CODIGO]],ENTRADAS[[#All],[CANTIDAD]])</f>
        <v>0</v>
      </c>
      <c r="E174" s="20">
        <f>SUMIF(SALIDAS[[#All],[CODIGO]],PRODUCTOS[[#This Row],[CODIGO]],SALIDAS[[#All],[CANTIDAD ]])</f>
        <v>0</v>
      </c>
      <c r="F174" s="22">
        <v>4500</v>
      </c>
      <c r="G174" s="21">
        <v>0</v>
      </c>
    </row>
    <row r="175" spans="1:7" x14ac:dyDescent="0.25">
      <c r="A175" s="38">
        <v>174</v>
      </c>
      <c r="B175" s="24" t="s">
        <v>174</v>
      </c>
      <c r="C175" s="23">
        <v>15</v>
      </c>
      <c r="D175" s="23">
        <f>SUMIF(ENTRADAS[[#All],[CODIGO]],PRODUCTOS[[#This Row],[CODIGO]],ENTRADAS[[#All],[CANTIDAD]])</f>
        <v>0</v>
      </c>
      <c r="E175" s="20">
        <f>SUMIF(SALIDAS[[#All],[CODIGO]],PRODUCTOS[[#This Row],[CODIGO]],SALIDAS[[#All],[CANTIDAD ]])</f>
        <v>0</v>
      </c>
      <c r="F175" s="22">
        <v>6000</v>
      </c>
      <c r="G175" s="21">
        <v>0</v>
      </c>
    </row>
    <row r="176" spans="1:7" x14ac:dyDescent="0.25">
      <c r="A176" s="38">
        <v>175</v>
      </c>
      <c r="B176" s="24" t="s">
        <v>173</v>
      </c>
      <c r="C176" s="23">
        <v>4</v>
      </c>
      <c r="D176" s="23">
        <f>SUMIF(ENTRADAS[[#All],[CODIGO]],PRODUCTOS[[#This Row],[CODIGO]],ENTRADAS[[#All],[CANTIDAD]])</f>
        <v>0</v>
      </c>
      <c r="E176" s="20">
        <f>SUMIF(SALIDAS[[#All],[CODIGO]],PRODUCTOS[[#This Row],[CODIGO]],SALIDAS[[#All],[CANTIDAD ]])</f>
        <v>0</v>
      </c>
      <c r="F176" s="22">
        <v>4000</v>
      </c>
      <c r="G176" s="21">
        <v>0</v>
      </c>
    </row>
    <row r="177" spans="1:7" x14ac:dyDescent="0.25">
      <c r="A177" s="39">
        <v>176</v>
      </c>
      <c r="B177" s="24" t="s">
        <v>172</v>
      </c>
      <c r="C177" s="23">
        <v>1</v>
      </c>
      <c r="D177" s="23">
        <f>SUMIF(ENTRADAS[[#All],[CODIGO]],PRODUCTOS[[#This Row],[CODIGO]],ENTRADAS[[#All],[CANTIDAD]])</f>
        <v>0</v>
      </c>
      <c r="E177" s="20">
        <f>SUMIF(SALIDAS[[#All],[CODIGO]],PRODUCTOS[[#This Row],[CODIGO]],SALIDAS[[#All],[CANTIDAD ]])</f>
        <v>0</v>
      </c>
      <c r="F177" s="22">
        <v>5500</v>
      </c>
      <c r="G177" s="21">
        <v>0</v>
      </c>
    </row>
    <row r="178" spans="1:7" x14ac:dyDescent="0.25">
      <c r="A178" s="38">
        <v>177</v>
      </c>
      <c r="B178" s="24" t="s">
        <v>171</v>
      </c>
      <c r="C178" s="23">
        <v>17</v>
      </c>
      <c r="D178" s="23">
        <f>SUMIF(ENTRADAS[[#All],[CODIGO]],PRODUCTOS[[#This Row],[CODIGO]],ENTRADAS[[#All],[CANTIDAD]])</f>
        <v>0</v>
      </c>
      <c r="E178" s="20">
        <f>SUMIF(SALIDAS[[#All],[CODIGO]],PRODUCTOS[[#This Row],[CODIGO]],SALIDAS[[#All],[CANTIDAD ]])</f>
        <v>0</v>
      </c>
      <c r="F178" s="22">
        <v>8000</v>
      </c>
      <c r="G178" s="21">
        <v>0</v>
      </c>
    </row>
    <row r="179" spans="1:7" x14ac:dyDescent="0.25">
      <c r="A179" s="38">
        <v>178</v>
      </c>
      <c r="B179" s="24" t="s">
        <v>170</v>
      </c>
      <c r="C179" s="23">
        <v>10</v>
      </c>
      <c r="D179" s="23">
        <f>SUMIF(ENTRADAS[[#All],[CODIGO]],PRODUCTOS[[#This Row],[CODIGO]],ENTRADAS[[#All],[CANTIDAD]])</f>
        <v>0</v>
      </c>
      <c r="E179" s="20">
        <f>SUMIF(SALIDAS[[#All],[CODIGO]],PRODUCTOS[[#This Row],[CODIGO]],SALIDAS[[#All],[CANTIDAD ]])</f>
        <v>0</v>
      </c>
      <c r="F179" s="22">
        <v>6000</v>
      </c>
      <c r="G179" s="21">
        <v>0</v>
      </c>
    </row>
    <row r="180" spans="1:7" x14ac:dyDescent="0.25">
      <c r="A180" s="39">
        <v>179</v>
      </c>
      <c r="B180" s="24" t="s">
        <v>169</v>
      </c>
      <c r="C180" s="23">
        <v>9</v>
      </c>
      <c r="D180" s="23">
        <f>SUMIF(ENTRADAS[[#All],[CODIGO]],PRODUCTOS[[#This Row],[CODIGO]],ENTRADAS[[#All],[CANTIDAD]])</f>
        <v>0</v>
      </c>
      <c r="E180" s="20">
        <f>SUMIF(SALIDAS[[#All],[CODIGO]],PRODUCTOS[[#This Row],[CODIGO]],SALIDAS[[#All],[CANTIDAD ]])</f>
        <v>0</v>
      </c>
      <c r="F180" s="22">
        <v>11000</v>
      </c>
      <c r="G180" s="21">
        <v>0</v>
      </c>
    </row>
    <row r="181" spans="1:7" x14ac:dyDescent="0.25">
      <c r="A181" s="38">
        <v>180</v>
      </c>
      <c r="B181" s="24" t="s">
        <v>168</v>
      </c>
      <c r="C181" s="23">
        <v>7</v>
      </c>
      <c r="D181" s="23">
        <f>SUMIF(ENTRADAS[[#All],[CODIGO]],PRODUCTOS[[#This Row],[CODIGO]],ENTRADAS[[#All],[CANTIDAD]])</f>
        <v>0</v>
      </c>
      <c r="E181" s="20">
        <f>SUMIF(SALIDAS[[#All],[CODIGO]],PRODUCTOS[[#This Row],[CODIGO]],SALIDAS[[#All],[CANTIDAD ]])</f>
        <v>0</v>
      </c>
      <c r="F181" s="22">
        <v>4800</v>
      </c>
      <c r="G181" s="21">
        <v>0</v>
      </c>
    </row>
    <row r="182" spans="1:7" x14ac:dyDescent="0.25">
      <c r="A182" s="38">
        <v>181</v>
      </c>
      <c r="B182" s="24" t="s">
        <v>167</v>
      </c>
      <c r="C182" s="23">
        <v>2</v>
      </c>
      <c r="D182" s="23">
        <f>SUMIF(ENTRADAS[[#All],[CODIGO]],PRODUCTOS[[#This Row],[CODIGO]],ENTRADAS[[#All],[CANTIDAD]])</f>
        <v>0</v>
      </c>
      <c r="E182" s="20">
        <f>SUMIF(SALIDAS[[#All],[CODIGO]],PRODUCTOS[[#This Row],[CODIGO]],SALIDAS[[#All],[CANTIDAD ]])</f>
        <v>0</v>
      </c>
      <c r="F182" s="22">
        <v>8500</v>
      </c>
      <c r="G182" s="21">
        <v>0</v>
      </c>
    </row>
    <row r="183" spans="1:7" x14ac:dyDescent="0.25">
      <c r="A183" s="39">
        <v>182</v>
      </c>
      <c r="B183" s="24" t="s">
        <v>166</v>
      </c>
      <c r="C183" s="23">
        <v>6</v>
      </c>
      <c r="D183" s="23">
        <f>SUMIF(ENTRADAS[[#All],[CODIGO]],PRODUCTOS[[#This Row],[CODIGO]],ENTRADAS[[#All],[CANTIDAD]])</f>
        <v>0</v>
      </c>
      <c r="E183" s="20">
        <f>SUMIF(SALIDAS[[#All],[CODIGO]],PRODUCTOS[[#This Row],[CODIGO]],SALIDAS[[#All],[CANTIDAD ]])</f>
        <v>0</v>
      </c>
      <c r="F183" s="22">
        <v>7000</v>
      </c>
      <c r="G183" s="21">
        <v>0</v>
      </c>
    </row>
    <row r="184" spans="1:7" x14ac:dyDescent="0.25">
      <c r="A184" s="38">
        <v>183</v>
      </c>
      <c r="B184" s="24" t="s">
        <v>165</v>
      </c>
      <c r="C184" s="23">
        <v>5</v>
      </c>
      <c r="D184" s="23">
        <f>SUMIF(ENTRADAS[[#All],[CODIGO]],PRODUCTOS[[#This Row],[CODIGO]],ENTRADAS[[#All],[CANTIDAD]])</f>
        <v>0</v>
      </c>
      <c r="E184" s="20">
        <f>SUMIF(SALIDAS[[#All],[CODIGO]],PRODUCTOS[[#This Row],[CODIGO]],SALIDAS[[#All],[CANTIDAD ]])</f>
        <v>0</v>
      </c>
      <c r="F184" s="22">
        <v>11000</v>
      </c>
      <c r="G184" s="21">
        <v>0</v>
      </c>
    </row>
    <row r="185" spans="1:7" x14ac:dyDescent="0.25">
      <c r="A185" s="38">
        <v>184</v>
      </c>
      <c r="B185" s="24" t="s">
        <v>164</v>
      </c>
      <c r="C185" s="23">
        <v>7</v>
      </c>
      <c r="D185" s="23">
        <f>SUMIF(ENTRADAS[[#All],[CODIGO]],PRODUCTOS[[#This Row],[CODIGO]],ENTRADAS[[#All],[CANTIDAD]])</f>
        <v>0</v>
      </c>
      <c r="E185" s="20">
        <f>SUMIF(SALIDAS[[#All],[CODIGO]],PRODUCTOS[[#This Row],[CODIGO]],SALIDAS[[#All],[CANTIDAD ]])</f>
        <v>0</v>
      </c>
      <c r="F185" s="22">
        <v>18000</v>
      </c>
      <c r="G185" s="21">
        <v>0</v>
      </c>
    </row>
    <row r="186" spans="1:7" x14ac:dyDescent="0.25">
      <c r="A186" s="39">
        <v>185</v>
      </c>
      <c r="B186" s="24" t="s">
        <v>163</v>
      </c>
      <c r="C186" s="23">
        <v>4</v>
      </c>
      <c r="D186" s="23">
        <f>SUMIF(ENTRADAS[[#All],[CODIGO]],PRODUCTOS[[#This Row],[CODIGO]],ENTRADAS[[#All],[CANTIDAD]])</f>
        <v>0</v>
      </c>
      <c r="E186" s="20">
        <f>SUMIF(SALIDAS[[#All],[CODIGO]],PRODUCTOS[[#This Row],[CODIGO]],SALIDAS[[#All],[CANTIDAD ]])</f>
        <v>0</v>
      </c>
      <c r="F186" s="22">
        <v>175000</v>
      </c>
      <c r="G186" s="21">
        <v>0</v>
      </c>
    </row>
    <row r="187" spans="1:7" x14ac:dyDescent="0.25">
      <c r="A187" s="38">
        <v>186</v>
      </c>
      <c r="B187" s="24" t="s">
        <v>162</v>
      </c>
      <c r="C187" s="23">
        <v>2</v>
      </c>
      <c r="D187" s="23">
        <f>SUMIF(ENTRADAS[[#All],[CODIGO]],PRODUCTOS[[#This Row],[CODIGO]],ENTRADAS[[#All],[CANTIDAD]])</f>
        <v>0</v>
      </c>
      <c r="E187" s="20">
        <f>SUMIF(SALIDAS[[#All],[CODIGO]],PRODUCTOS[[#This Row],[CODIGO]],SALIDAS[[#All],[CANTIDAD ]])</f>
        <v>0</v>
      </c>
      <c r="F187" s="22">
        <v>185000</v>
      </c>
      <c r="G187" s="21">
        <v>0</v>
      </c>
    </row>
    <row r="188" spans="1:7" x14ac:dyDescent="0.25">
      <c r="A188" s="38">
        <v>187</v>
      </c>
      <c r="B188" s="24" t="s">
        <v>161</v>
      </c>
      <c r="C188" s="23">
        <v>12</v>
      </c>
      <c r="D188" s="23">
        <f>SUMIF(ENTRADAS[[#All],[CODIGO]],PRODUCTOS[[#This Row],[CODIGO]],ENTRADAS[[#All],[CANTIDAD]])</f>
        <v>0</v>
      </c>
      <c r="E188" s="20">
        <f>SUMIF(SALIDAS[[#All],[CODIGO]],PRODUCTOS[[#This Row],[CODIGO]],SALIDAS[[#All],[CANTIDAD ]])</f>
        <v>0</v>
      </c>
      <c r="F188" s="22">
        <v>15000</v>
      </c>
      <c r="G188" s="21">
        <v>0</v>
      </c>
    </row>
    <row r="189" spans="1:7" x14ac:dyDescent="0.25">
      <c r="A189" s="39">
        <v>188</v>
      </c>
      <c r="B189" s="24" t="s">
        <v>160</v>
      </c>
      <c r="C189" s="23">
        <v>12</v>
      </c>
      <c r="D189" s="23">
        <f>SUMIF(ENTRADAS[[#All],[CODIGO]],PRODUCTOS[[#This Row],[CODIGO]],ENTRADAS[[#All],[CANTIDAD]])</f>
        <v>0</v>
      </c>
      <c r="E189" s="20">
        <f>SUMIF(SALIDAS[[#All],[CODIGO]],PRODUCTOS[[#This Row],[CODIGO]],SALIDAS[[#All],[CANTIDAD ]])</f>
        <v>0</v>
      </c>
      <c r="F189" s="22">
        <v>17000</v>
      </c>
      <c r="G189" s="21">
        <v>0</v>
      </c>
    </row>
    <row r="190" spans="1:7" x14ac:dyDescent="0.25">
      <c r="A190" s="38">
        <v>189</v>
      </c>
      <c r="B190" s="24" t="s">
        <v>159</v>
      </c>
      <c r="C190" s="23">
        <v>2</v>
      </c>
      <c r="D190" s="23">
        <f>SUMIF(ENTRADAS[[#All],[CODIGO]],PRODUCTOS[[#This Row],[CODIGO]],ENTRADAS[[#All],[CANTIDAD]])</f>
        <v>0</v>
      </c>
      <c r="E190" s="20">
        <f>SUMIF(SALIDAS[[#All],[CODIGO]],PRODUCTOS[[#This Row],[CODIGO]],SALIDAS[[#All],[CANTIDAD ]])</f>
        <v>0</v>
      </c>
      <c r="F190" s="22">
        <v>25000</v>
      </c>
      <c r="G190" s="21">
        <v>0</v>
      </c>
    </row>
    <row r="191" spans="1:7" x14ac:dyDescent="0.25">
      <c r="A191" s="38">
        <v>190</v>
      </c>
      <c r="B191" s="24" t="s">
        <v>158</v>
      </c>
      <c r="C191" s="23">
        <v>3</v>
      </c>
      <c r="D191" s="23">
        <f>SUMIF(ENTRADAS[[#All],[CODIGO]],PRODUCTOS[[#This Row],[CODIGO]],ENTRADAS[[#All],[CANTIDAD]])</f>
        <v>0</v>
      </c>
      <c r="E191" s="20">
        <f>SUMIF(SALIDAS[[#All],[CODIGO]],PRODUCTOS[[#This Row],[CODIGO]],SALIDAS[[#All],[CANTIDAD ]])</f>
        <v>0</v>
      </c>
      <c r="F191" s="22">
        <v>19000</v>
      </c>
      <c r="G191" s="21">
        <v>0</v>
      </c>
    </row>
    <row r="192" spans="1:7" x14ac:dyDescent="0.25">
      <c r="A192" s="39">
        <v>191</v>
      </c>
      <c r="B192" s="24" t="s">
        <v>157</v>
      </c>
      <c r="C192" s="23">
        <v>4</v>
      </c>
      <c r="D192" s="23">
        <f>SUMIF(ENTRADAS[[#All],[CODIGO]],PRODUCTOS[[#This Row],[CODIGO]],ENTRADAS[[#All],[CANTIDAD]])</f>
        <v>0</v>
      </c>
      <c r="E192" s="20">
        <f>SUMIF(SALIDAS[[#All],[CODIGO]],PRODUCTOS[[#This Row],[CODIGO]],SALIDAS[[#All],[CANTIDAD ]])</f>
        <v>0</v>
      </c>
      <c r="F192" s="22">
        <v>15000</v>
      </c>
      <c r="G192" s="21">
        <v>0</v>
      </c>
    </row>
    <row r="193" spans="1:7" x14ac:dyDescent="0.25">
      <c r="A193" s="38">
        <v>192</v>
      </c>
      <c r="B193" s="24" t="s">
        <v>156</v>
      </c>
      <c r="C193" s="23">
        <v>6</v>
      </c>
      <c r="D193" s="23">
        <f>SUMIF(ENTRADAS[[#All],[CODIGO]],PRODUCTOS[[#This Row],[CODIGO]],ENTRADAS[[#All],[CANTIDAD]])</f>
        <v>0</v>
      </c>
      <c r="E193" s="20">
        <f>SUMIF(SALIDAS[[#All],[CODIGO]],PRODUCTOS[[#This Row],[CODIGO]],SALIDAS[[#All],[CANTIDAD ]])</f>
        <v>0</v>
      </c>
      <c r="F193" s="22">
        <v>1000</v>
      </c>
      <c r="G193" s="21">
        <v>0</v>
      </c>
    </row>
    <row r="194" spans="1:7" x14ac:dyDescent="0.25">
      <c r="A194" s="38">
        <v>193</v>
      </c>
      <c r="B194" s="24" t="s">
        <v>155</v>
      </c>
      <c r="C194" s="23">
        <v>29</v>
      </c>
      <c r="D194" s="23">
        <f>SUMIF(ENTRADAS[[#All],[CODIGO]],PRODUCTOS[[#This Row],[CODIGO]],ENTRADAS[[#All],[CANTIDAD]])</f>
        <v>0</v>
      </c>
      <c r="E194" s="20">
        <f>SUMIF(SALIDAS[[#All],[CODIGO]],PRODUCTOS[[#This Row],[CODIGO]],SALIDAS[[#All],[CANTIDAD ]])</f>
        <v>0</v>
      </c>
      <c r="F194" s="22">
        <v>500</v>
      </c>
      <c r="G194" s="21">
        <v>0</v>
      </c>
    </row>
    <row r="195" spans="1:7" x14ac:dyDescent="0.25">
      <c r="A195" s="39">
        <v>194</v>
      </c>
      <c r="B195" s="24" t="s">
        <v>154</v>
      </c>
      <c r="C195" s="23">
        <v>38</v>
      </c>
      <c r="D195" s="23">
        <f>SUMIF(ENTRADAS[[#All],[CODIGO]],PRODUCTOS[[#This Row],[CODIGO]],ENTRADAS[[#All],[CANTIDAD]])</f>
        <v>0</v>
      </c>
      <c r="E195" s="20">
        <f>SUMIF(SALIDAS[[#All],[CODIGO]],PRODUCTOS[[#This Row],[CODIGO]],SALIDAS[[#All],[CANTIDAD ]])</f>
        <v>0</v>
      </c>
      <c r="F195" s="22">
        <v>2000</v>
      </c>
      <c r="G195" s="21">
        <v>0</v>
      </c>
    </row>
    <row r="196" spans="1:7" x14ac:dyDescent="0.25">
      <c r="A196" s="38">
        <v>195</v>
      </c>
      <c r="B196" s="24" t="s">
        <v>153</v>
      </c>
      <c r="C196" s="23">
        <v>59</v>
      </c>
      <c r="D196" s="23">
        <f>SUMIF(ENTRADAS[[#All],[CODIGO]],PRODUCTOS[[#This Row],[CODIGO]],ENTRADAS[[#All],[CANTIDAD]])</f>
        <v>0</v>
      </c>
      <c r="E196" s="20">
        <f>SUMIF(SALIDAS[[#All],[CODIGO]],PRODUCTOS[[#This Row],[CODIGO]],SALIDAS[[#All],[CANTIDAD ]])</f>
        <v>0</v>
      </c>
      <c r="F196" s="22">
        <v>2000</v>
      </c>
      <c r="G196" s="21">
        <v>0</v>
      </c>
    </row>
    <row r="197" spans="1:7" x14ac:dyDescent="0.25">
      <c r="A197" s="38">
        <v>196</v>
      </c>
      <c r="B197" s="24" t="s">
        <v>152</v>
      </c>
      <c r="C197" s="23">
        <v>35</v>
      </c>
      <c r="D197" s="23">
        <f>SUMIF(ENTRADAS[[#All],[CODIGO]],PRODUCTOS[[#This Row],[CODIGO]],ENTRADAS[[#All],[CANTIDAD]])</f>
        <v>0</v>
      </c>
      <c r="E197" s="20">
        <f>SUMIF(SALIDAS[[#All],[CODIGO]],PRODUCTOS[[#This Row],[CODIGO]],SALIDAS[[#All],[CANTIDAD ]])</f>
        <v>0</v>
      </c>
      <c r="F197" s="22">
        <v>5000</v>
      </c>
      <c r="G197" s="21">
        <v>0</v>
      </c>
    </row>
    <row r="198" spans="1:7" x14ac:dyDescent="0.25">
      <c r="A198" s="39">
        <v>197</v>
      </c>
      <c r="B198" s="24" t="s">
        <v>151</v>
      </c>
      <c r="C198" s="23">
        <v>44</v>
      </c>
      <c r="D198" s="23">
        <f>SUMIF(ENTRADAS[[#All],[CODIGO]],PRODUCTOS[[#This Row],[CODIGO]],ENTRADAS[[#All],[CANTIDAD]])</f>
        <v>0</v>
      </c>
      <c r="E198" s="20">
        <f>SUMIF(SALIDAS[[#All],[CODIGO]],PRODUCTOS[[#This Row],[CODIGO]],SALIDAS[[#All],[CANTIDAD ]])</f>
        <v>0</v>
      </c>
      <c r="F198" s="22">
        <v>5000</v>
      </c>
      <c r="G198" s="21">
        <v>0</v>
      </c>
    </row>
    <row r="199" spans="1:7" x14ac:dyDescent="0.25">
      <c r="A199" s="38">
        <v>198</v>
      </c>
      <c r="B199" s="24" t="s">
        <v>150</v>
      </c>
      <c r="C199" s="23">
        <v>21</v>
      </c>
      <c r="D199" s="23">
        <f>SUMIF(ENTRADAS[[#All],[CODIGO]],PRODUCTOS[[#This Row],[CODIGO]],ENTRADAS[[#All],[CANTIDAD]])</f>
        <v>0</v>
      </c>
      <c r="E199" s="20">
        <f>SUMIF(SALIDAS[[#All],[CODIGO]],PRODUCTOS[[#This Row],[CODIGO]],SALIDAS[[#All],[CANTIDAD ]])</f>
        <v>0</v>
      </c>
      <c r="F199" s="22">
        <v>8000</v>
      </c>
      <c r="G199" s="21">
        <v>0</v>
      </c>
    </row>
    <row r="200" spans="1:7" x14ac:dyDescent="0.25">
      <c r="A200" s="38">
        <v>199</v>
      </c>
      <c r="B200" s="24" t="s">
        <v>149</v>
      </c>
      <c r="C200" s="23">
        <v>2</v>
      </c>
      <c r="D200" s="23">
        <f>SUMIF(ENTRADAS[[#All],[CODIGO]],PRODUCTOS[[#This Row],[CODIGO]],ENTRADAS[[#All],[CANTIDAD]])</f>
        <v>0</v>
      </c>
      <c r="E200" s="20">
        <f>SUMIF(SALIDAS[[#All],[CODIGO]],PRODUCTOS[[#This Row],[CODIGO]],SALIDAS[[#All],[CANTIDAD ]])</f>
        <v>0</v>
      </c>
      <c r="F200" s="22">
        <v>10000</v>
      </c>
      <c r="G200" s="21">
        <v>0</v>
      </c>
    </row>
    <row r="201" spans="1:7" x14ac:dyDescent="0.25">
      <c r="A201" s="39">
        <v>200</v>
      </c>
      <c r="B201" s="24" t="s">
        <v>148</v>
      </c>
      <c r="C201" s="23">
        <v>9</v>
      </c>
      <c r="D201" s="23">
        <f>SUMIF(ENTRADAS[[#All],[CODIGO]],PRODUCTOS[[#This Row],[CODIGO]],ENTRADAS[[#All],[CANTIDAD]])</f>
        <v>0</v>
      </c>
      <c r="E201" s="20">
        <f>SUMIF(SALIDAS[[#All],[CODIGO]],PRODUCTOS[[#This Row],[CODIGO]],SALIDAS[[#All],[CANTIDAD ]])</f>
        <v>0</v>
      </c>
      <c r="F201" s="22">
        <v>25000</v>
      </c>
      <c r="G201" s="21">
        <v>0</v>
      </c>
    </row>
    <row r="202" spans="1:7" x14ac:dyDescent="0.25">
      <c r="A202" s="38">
        <v>201</v>
      </c>
      <c r="B202" s="24" t="s">
        <v>147</v>
      </c>
      <c r="C202" s="23">
        <v>8</v>
      </c>
      <c r="D202" s="23">
        <f>SUMIF(ENTRADAS[[#All],[CODIGO]],PRODUCTOS[[#This Row],[CODIGO]],ENTRADAS[[#All],[CANTIDAD]])</f>
        <v>0</v>
      </c>
      <c r="E202" s="20">
        <f>SUMIF(SALIDAS[[#All],[CODIGO]],PRODUCTOS[[#This Row],[CODIGO]],SALIDAS[[#All],[CANTIDAD ]])</f>
        <v>0</v>
      </c>
      <c r="F202" s="22">
        <v>20000</v>
      </c>
      <c r="G202" s="21">
        <v>0</v>
      </c>
    </row>
    <row r="203" spans="1:7" x14ac:dyDescent="0.25">
      <c r="A203" s="38">
        <v>202</v>
      </c>
      <c r="B203" s="24" t="s">
        <v>146</v>
      </c>
      <c r="C203" s="23">
        <v>4</v>
      </c>
      <c r="D203" s="23">
        <f>SUMIF(ENTRADAS[[#All],[CODIGO]],PRODUCTOS[[#This Row],[CODIGO]],ENTRADAS[[#All],[CANTIDAD]])</f>
        <v>0</v>
      </c>
      <c r="E203" s="20">
        <f>SUMIF(SALIDAS[[#All],[CODIGO]],PRODUCTOS[[#This Row],[CODIGO]],SALIDAS[[#All],[CANTIDAD ]])</f>
        <v>0</v>
      </c>
      <c r="F203" s="22">
        <v>8000</v>
      </c>
      <c r="G203" s="21">
        <v>0</v>
      </c>
    </row>
    <row r="204" spans="1:7" x14ac:dyDescent="0.25">
      <c r="A204" s="39">
        <v>203</v>
      </c>
      <c r="B204" s="24" t="s">
        <v>145</v>
      </c>
      <c r="C204" s="23">
        <v>3</v>
      </c>
      <c r="D204" s="23">
        <f>SUMIF(ENTRADAS[[#All],[CODIGO]],PRODUCTOS[[#This Row],[CODIGO]],ENTRADAS[[#All],[CANTIDAD]])</f>
        <v>0</v>
      </c>
      <c r="E204" s="20">
        <f>SUMIF(SALIDAS[[#All],[CODIGO]],PRODUCTOS[[#This Row],[CODIGO]],SALIDAS[[#All],[CANTIDAD ]])</f>
        <v>0</v>
      </c>
      <c r="F204" s="22">
        <v>10000</v>
      </c>
      <c r="G204" s="21">
        <v>0</v>
      </c>
    </row>
    <row r="205" spans="1:7" x14ac:dyDescent="0.25">
      <c r="A205" s="38">
        <v>204</v>
      </c>
      <c r="B205" s="24" t="s">
        <v>144</v>
      </c>
      <c r="C205" s="23">
        <v>3</v>
      </c>
      <c r="D205" s="23">
        <f>SUMIF(ENTRADAS[[#All],[CODIGO]],PRODUCTOS[[#This Row],[CODIGO]],ENTRADAS[[#All],[CANTIDAD]])</f>
        <v>0</v>
      </c>
      <c r="E205" s="20">
        <f>SUMIF(SALIDAS[[#All],[CODIGO]],PRODUCTOS[[#This Row],[CODIGO]],SALIDAS[[#All],[CANTIDAD ]])</f>
        <v>0</v>
      </c>
      <c r="F205" s="22">
        <v>8000</v>
      </c>
      <c r="G205" s="21">
        <v>0</v>
      </c>
    </row>
    <row r="206" spans="1:7" x14ac:dyDescent="0.25">
      <c r="A206" s="38">
        <v>205</v>
      </c>
      <c r="B206" s="24" t="s">
        <v>143</v>
      </c>
      <c r="C206" s="23">
        <v>4</v>
      </c>
      <c r="D206" s="23">
        <f>SUMIF(ENTRADAS[[#All],[CODIGO]],PRODUCTOS[[#This Row],[CODIGO]],ENTRADAS[[#All],[CANTIDAD]])</f>
        <v>0</v>
      </c>
      <c r="E206" s="20">
        <f>SUMIF(SALIDAS[[#All],[CODIGO]],PRODUCTOS[[#This Row],[CODIGO]],SALIDAS[[#All],[CANTIDAD ]])</f>
        <v>0</v>
      </c>
      <c r="F206" s="22">
        <v>3500</v>
      </c>
      <c r="G206" s="21">
        <v>0</v>
      </c>
    </row>
    <row r="207" spans="1:7" x14ac:dyDescent="0.25">
      <c r="A207" s="39">
        <v>206</v>
      </c>
      <c r="B207" s="24" t="s">
        <v>142</v>
      </c>
      <c r="C207" s="23">
        <v>1</v>
      </c>
      <c r="D207" s="23">
        <f>SUMIF(ENTRADAS[[#All],[CODIGO]],PRODUCTOS[[#This Row],[CODIGO]],ENTRADAS[[#All],[CANTIDAD]])</f>
        <v>0</v>
      </c>
      <c r="E207" s="20">
        <f>SUMIF(SALIDAS[[#All],[CODIGO]],PRODUCTOS[[#This Row],[CODIGO]],SALIDAS[[#All],[CANTIDAD ]])</f>
        <v>0</v>
      </c>
      <c r="F207" s="22">
        <v>3000</v>
      </c>
      <c r="G207" s="21">
        <v>0</v>
      </c>
    </row>
    <row r="208" spans="1:7" x14ac:dyDescent="0.25">
      <c r="A208" s="38">
        <v>207</v>
      </c>
      <c r="B208" s="24" t="s">
        <v>141</v>
      </c>
      <c r="C208" s="23">
        <v>8</v>
      </c>
      <c r="D208" s="23">
        <f>SUMIF(ENTRADAS[[#All],[CODIGO]],PRODUCTOS[[#This Row],[CODIGO]],ENTRADAS[[#All],[CANTIDAD]])</f>
        <v>0</v>
      </c>
      <c r="E208" s="20">
        <f>SUMIF(SALIDAS[[#All],[CODIGO]],PRODUCTOS[[#This Row],[CODIGO]],SALIDAS[[#All],[CANTIDAD ]])</f>
        <v>0</v>
      </c>
      <c r="F208" s="22">
        <v>22000</v>
      </c>
      <c r="G208" s="21">
        <v>0</v>
      </c>
    </row>
    <row r="209" spans="1:7" x14ac:dyDescent="0.25">
      <c r="A209" s="38">
        <v>208</v>
      </c>
      <c r="B209" s="24" t="s">
        <v>140</v>
      </c>
      <c r="C209" s="23">
        <v>6</v>
      </c>
      <c r="D209" s="23">
        <f>SUMIF(ENTRADAS[[#All],[CODIGO]],PRODUCTOS[[#This Row],[CODIGO]],ENTRADAS[[#All],[CANTIDAD]])</f>
        <v>0</v>
      </c>
      <c r="E209" s="20">
        <f>SUMIF(SALIDAS[[#All],[CODIGO]],PRODUCTOS[[#This Row],[CODIGO]],SALIDAS[[#All],[CANTIDAD ]])</f>
        <v>0</v>
      </c>
      <c r="F209" s="22">
        <v>12000</v>
      </c>
      <c r="G209" s="21">
        <v>0</v>
      </c>
    </row>
    <row r="210" spans="1:7" x14ac:dyDescent="0.25">
      <c r="A210" s="39">
        <v>209</v>
      </c>
      <c r="B210" s="24" t="s">
        <v>139</v>
      </c>
      <c r="C210" s="23">
        <v>1</v>
      </c>
      <c r="D210" s="23">
        <f>SUMIF(ENTRADAS[[#All],[CODIGO]],PRODUCTOS[[#This Row],[CODIGO]],ENTRADAS[[#All],[CANTIDAD]])</f>
        <v>0</v>
      </c>
      <c r="E210" s="20">
        <f>SUMIF(SALIDAS[[#All],[CODIGO]],PRODUCTOS[[#This Row],[CODIGO]],SALIDAS[[#All],[CANTIDAD ]])</f>
        <v>0</v>
      </c>
      <c r="F210" s="22">
        <v>25000</v>
      </c>
      <c r="G210" s="21">
        <v>0</v>
      </c>
    </row>
    <row r="211" spans="1:7" x14ac:dyDescent="0.25">
      <c r="A211" s="38">
        <v>210</v>
      </c>
      <c r="B211" s="24" t="s">
        <v>138</v>
      </c>
      <c r="C211" s="23">
        <v>3</v>
      </c>
      <c r="D211" s="23">
        <f>SUMIF(ENTRADAS[[#All],[CODIGO]],PRODUCTOS[[#This Row],[CODIGO]],ENTRADAS[[#All],[CANTIDAD]])</f>
        <v>0</v>
      </c>
      <c r="E211" s="20">
        <f>SUMIF(SALIDAS[[#All],[CODIGO]],PRODUCTOS[[#This Row],[CODIGO]],SALIDAS[[#All],[CANTIDAD ]])</f>
        <v>0</v>
      </c>
      <c r="F211" s="22">
        <v>25000</v>
      </c>
      <c r="G211" s="21">
        <v>0</v>
      </c>
    </row>
    <row r="212" spans="1:7" x14ac:dyDescent="0.25">
      <c r="A212" s="38">
        <v>211</v>
      </c>
      <c r="B212" s="24" t="s">
        <v>137</v>
      </c>
      <c r="C212" s="23">
        <v>4</v>
      </c>
      <c r="D212" s="23">
        <f>SUMIF(ENTRADAS[[#All],[CODIGO]],PRODUCTOS[[#This Row],[CODIGO]],ENTRADAS[[#All],[CANTIDAD]])</f>
        <v>0</v>
      </c>
      <c r="E212" s="20">
        <f>SUMIF(SALIDAS[[#All],[CODIGO]],PRODUCTOS[[#This Row],[CODIGO]],SALIDAS[[#All],[CANTIDAD ]])</f>
        <v>0</v>
      </c>
      <c r="F212" s="22">
        <v>15000</v>
      </c>
      <c r="G212" s="21">
        <v>0</v>
      </c>
    </row>
    <row r="213" spans="1:7" x14ac:dyDescent="0.25">
      <c r="A213" s="39">
        <v>212</v>
      </c>
      <c r="B213" s="24" t="s">
        <v>136</v>
      </c>
      <c r="C213" s="23">
        <v>3</v>
      </c>
      <c r="D213" s="23">
        <f>SUMIF(ENTRADAS[[#All],[CODIGO]],PRODUCTOS[[#This Row],[CODIGO]],ENTRADAS[[#All],[CANTIDAD]])</f>
        <v>0</v>
      </c>
      <c r="E213" s="20">
        <f>SUMIF(SALIDAS[[#All],[CODIGO]],PRODUCTOS[[#This Row],[CODIGO]],SALIDAS[[#All],[CANTIDAD ]])</f>
        <v>0</v>
      </c>
      <c r="F213" s="22">
        <v>12000</v>
      </c>
      <c r="G213" s="21">
        <v>0</v>
      </c>
    </row>
    <row r="214" spans="1:7" x14ac:dyDescent="0.25">
      <c r="A214" s="38">
        <v>213</v>
      </c>
      <c r="B214" s="24" t="s">
        <v>135</v>
      </c>
      <c r="C214" s="23">
        <v>2</v>
      </c>
      <c r="D214" s="23">
        <f>SUMIF(ENTRADAS[[#All],[CODIGO]],PRODUCTOS[[#This Row],[CODIGO]],ENTRADAS[[#All],[CANTIDAD]])</f>
        <v>0</v>
      </c>
      <c r="E214" s="20">
        <f>SUMIF(SALIDAS[[#All],[CODIGO]],PRODUCTOS[[#This Row],[CODIGO]],SALIDAS[[#All],[CANTIDAD ]])</f>
        <v>0</v>
      </c>
      <c r="F214" s="22">
        <v>12000</v>
      </c>
      <c r="G214" s="21">
        <v>0</v>
      </c>
    </row>
    <row r="215" spans="1:7" x14ac:dyDescent="0.25">
      <c r="A215" s="38">
        <v>214</v>
      </c>
      <c r="B215" s="24" t="s">
        <v>134</v>
      </c>
      <c r="C215" s="23">
        <v>2</v>
      </c>
      <c r="D215" s="23">
        <f>SUMIF(ENTRADAS[[#All],[CODIGO]],PRODUCTOS[[#This Row],[CODIGO]],ENTRADAS[[#All],[CANTIDAD]])</f>
        <v>0</v>
      </c>
      <c r="E215" s="20">
        <f>SUMIF(SALIDAS[[#All],[CODIGO]],PRODUCTOS[[#This Row],[CODIGO]],SALIDAS[[#All],[CANTIDAD ]])</f>
        <v>0</v>
      </c>
      <c r="F215" s="22">
        <v>15000</v>
      </c>
      <c r="G215" s="21">
        <v>0</v>
      </c>
    </row>
    <row r="216" spans="1:7" x14ac:dyDescent="0.25">
      <c r="A216" s="39">
        <v>215</v>
      </c>
      <c r="B216" s="24" t="s">
        <v>133</v>
      </c>
      <c r="C216" s="23">
        <v>5</v>
      </c>
      <c r="D216" s="23">
        <f>SUMIF(ENTRADAS[[#All],[CODIGO]],PRODUCTOS[[#This Row],[CODIGO]],ENTRADAS[[#All],[CANTIDAD]])</f>
        <v>0</v>
      </c>
      <c r="E216" s="20">
        <f>SUMIF(SALIDAS[[#All],[CODIGO]],PRODUCTOS[[#This Row],[CODIGO]],SALIDAS[[#All],[CANTIDAD ]])</f>
        <v>0</v>
      </c>
      <c r="F216" s="22">
        <v>6500</v>
      </c>
      <c r="G216" s="21">
        <v>0</v>
      </c>
    </row>
    <row r="217" spans="1:7" x14ac:dyDescent="0.25">
      <c r="A217" s="38">
        <v>216</v>
      </c>
      <c r="B217" s="24" t="s">
        <v>132</v>
      </c>
      <c r="C217" s="23">
        <v>2</v>
      </c>
      <c r="D217" s="23">
        <f>SUMIF(ENTRADAS[[#All],[CODIGO]],PRODUCTOS[[#This Row],[CODIGO]],ENTRADAS[[#All],[CANTIDAD]])</f>
        <v>0</v>
      </c>
      <c r="E217" s="20">
        <f>SUMIF(SALIDAS[[#All],[CODIGO]],PRODUCTOS[[#This Row],[CODIGO]],SALIDAS[[#All],[CANTIDAD ]])</f>
        <v>0</v>
      </c>
      <c r="F217" s="22">
        <v>95000</v>
      </c>
      <c r="G217" s="21">
        <v>0</v>
      </c>
    </row>
    <row r="218" spans="1:7" x14ac:dyDescent="0.25">
      <c r="A218" s="38">
        <v>217</v>
      </c>
      <c r="B218" s="24" t="s">
        <v>131</v>
      </c>
      <c r="C218" s="23">
        <v>6</v>
      </c>
      <c r="D218" s="23">
        <f>SUMIF(ENTRADAS[[#All],[CODIGO]],PRODUCTOS[[#This Row],[CODIGO]],ENTRADAS[[#All],[CANTIDAD]])</f>
        <v>0</v>
      </c>
      <c r="E218" s="20">
        <f>SUMIF(SALIDAS[[#All],[CODIGO]],PRODUCTOS[[#This Row],[CODIGO]],SALIDAS[[#All],[CANTIDAD ]])</f>
        <v>0</v>
      </c>
      <c r="F218" s="22">
        <v>39000</v>
      </c>
      <c r="G218" s="21">
        <v>0</v>
      </c>
    </row>
    <row r="219" spans="1:7" x14ac:dyDescent="0.25">
      <c r="A219" s="39">
        <v>218</v>
      </c>
      <c r="B219" s="24" t="s">
        <v>130</v>
      </c>
      <c r="C219" s="23">
        <v>3</v>
      </c>
      <c r="D219" s="23">
        <f>SUMIF(ENTRADAS[[#All],[CODIGO]],PRODUCTOS[[#This Row],[CODIGO]],ENTRADAS[[#All],[CANTIDAD]])</f>
        <v>0</v>
      </c>
      <c r="E219" s="20">
        <f>SUMIF(SALIDAS[[#All],[CODIGO]],PRODUCTOS[[#This Row],[CODIGO]],SALIDAS[[#All],[CANTIDAD ]])</f>
        <v>0</v>
      </c>
      <c r="F219" s="22">
        <v>35000</v>
      </c>
      <c r="G219" s="21">
        <v>0</v>
      </c>
    </row>
    <row r="220" spans="1:7" x14ac:dyDescent="0.25">
      <c r="A220" s="38">
        <v>219</v>
      </c>
      <c r="B220" s="24" t="s">
        <v>129</v>
      </c>
      <c r="C220" s="23">
        <v>3</v>
      </c>
      <c r="D220" s="23">
        <f>SUMIF(ENTRADAS[[#All],[CODIGO]],PRODUCTOS[[#This Row],[CODIGO]],ENTRADAS[[#All],[CANTIDAD]])</f>
        <v>0</v>
      </c>
      <c r="E220" s="20">
        <f>SUMIF(SALIDAS[[#All],[CODIGO]],PRODUCTOS[[#This Row],[CODIGO]],SALIDAS[[#All],[CANTIDAD ]])</f>
        <v>0</v>
      </c>
      <c r="F220" s="22">
        <v>86000</v>
      </c>
      <c r="G220" s="21">
        <v>0</v>
      </c>
    </row>
    <row r="221" spans="1:7" x14ac:dyDescent="0.25">
      <c r="A221" s="38">
        <v>220</v>
      </c>
      <c r="B221" s="24" t="s">
        <v>128</v>
      </c>
      <c r="C221" s="23">
        <v>6</v>
      </c>
      <c r="D221" s="23">
        <f>SUMIF(ENTRADAS[[#All],[CODIGO]],PRODUCTOS[[#This Row],[CODIGO]],ENTRADAS[[#All],[CANTIDAD]])</f>
        <v>0</v>
      </c>
      <c r="E221" s="20">
        <f>SUMIF(SALIDAS[[#All],[CODIGO]],PRODUCTOS[[#This Row],[CODIGO]],SALIDAS[[#All],[CANTIDAD ]])</f>
        <v>0</v>
      </c>
      <c r="F221" s="22">
        <v>87000</v>
      </c>
      <c r="G221" s="21">
        <v>0</v>
      </c>
    </row>
    <row r="222" spans="1:7" x14ac:dyDescent="0.25">
      <c r="A222" s="39">
        <v>221</v>
      </c>
      <c r="B222" s="24" t="s">
        <v>127</v>
      </c>
      <c r="C222" s="23">
        <v>3</v>
      </c>
      <c r="D222" s="23">
        <f>SUMIF(ENTRADAS[[#All],[CODIGO]],PRODUCTOS[[#This Row],[CODIGO]],ENTRADAS[[#All],[CANTIDAD]])</f>
        <v>0</v>
      </c>
      <c r="E222" s="20">
        <f>SUMIF(SALIDAS[[#All],[CODIGO]],PRODUCTOS[[#This Row],[CODIGO]],SALIDAS[[#All],[CANTIDAD ]])</f>
        <v>0</v>
      </c>
      <c r="F222" s="22">
        <v>12000</v>
      </c>
      <c r="G222" s="21">
        <v>0</v>
      </c>
    </row>
    <row r="223" spans="1:7" x14ac:dyDescent="0.25">
      <c r="A223" s="38">
        <v>222</v>
      </c>
      <c r="B223" s="24" t="s">
        <v>126</v>
      </c>
      <c r="C223" s="23">
        <v>5</v>
      </c>
      <c r="D223" s="23">
        <f>SUMIF(ENTRADAS[[#All],[CODIGO]],PRODUCTOS[[#This Row],[CODIGO]],ENTRADAS[[#All],[CANTIDAD]])</f>
        <v>0</v>
      </c>
      <c r="E223" s="20">
        <f>SUMIF(SALIDAS[[#All],[CODIGO]],PRODUCTOS[[#This Row],[CODIGO]],SALIDAS[[#All],[CANTIDAD ]])</f>
        <v>0</v>
      </c>
      <c r="F223" s="22">
        <v>15000</v>
      </c>
      <c r="G223" s="21">
        <v>0</v>
      </c>
    </row>
    <row r="224" spans="1:7" x14ac:dyDescent="0.25">
      <c r="A224" s="38">
        <v>223</v>
      </c>
      <c r="B224" s="24" t="s">
        <v>125</v>
      </c>
      <c r="C224" s="23">
        <v>2</v>
      </c>
      <c r="D224" s="23">
        <f>SUMIF(ENTRADAS[[#All],[CODIGO]],PRODUCTOS[[#This Row],[CODIGO]],ENTRADAS[[#All],[CANTIDAD]])</f>
        <v>0</v>
      </c>
      <c r="E224" s="20">
        <f>SUMIF(SALIDAS[[#All],[CODIGO]],PRODUCTOS[[#This Row],[CODIGO]],SALIDAS[[#All],[CANTIDAD ]])</f>
        <v>0</v>
      </c>
      <c r="F224" s="22">
        <v>45000</v>
      </c>
      <c r="G224" s="21">
        <v>0</v>
      </c>
    </row>
    <row r="225" spans="1:7" x14ac:dyDescent="0.25">
      <c r="A225" s="39">
        <v>224</v>
      </c>
      <c r="B225" s="24" t="s">
        <v>124</v>
      </c>
      <c r="C225" s="23">
        <v>15</v>
      </c>
      <c r="D225" s="23">
        <f>SUMIF(ENTRADAS[[#All],[CODIGO]],PRODUCTOS[[#This Row],[CODIGO]],ENTRADAS[[#All],[CANTIDAD]])</f>
        <v>0</v>
      </c>
      <c r="E225" s="20">
        <f>SUMIF(SALIDAS[[#All],[CODIGO]],PRODUCTOS[[#This Row],[CODIGO]],SALIDAS[[#All],[CANTIDAD ]])</f>
        <v>0</v>
      </c>
      <c r="F225" s="22">
        <v>12000</v>
      </c>
      <c r="G225" s="21">
        <v>0</v>
      </c>
    </row>
    <row r="226" spans="1:7" x14ac:dyDescent="0.25">
      <c r="A226" s="38">
        <v>225</v>
      </c>
      <c r="B226" s="24" t="s">
        <v>123</v>
      </c>
      <c r="C226" s="23">
        <v>9</v>
      </c>
      <c r="D226" s="23">
        <f>SUMIF(ENTRADAS[[#All],[CODIGO]],PRODUCTOS[[#This Row],[CODIGO]],ENTRADAS[[#All],[CANTIDAD]])</f>
        <v>0</v>
      </c>
      <c r="E226" s="20">
        <f>SUMIF(SALIDAS[[#All],[CODIGO]],PRODUCTOS[[#This Row],[CODIGO]],SALIDAS[[#All],[CANTIDAD ]])</f>
        <v>0</v>
      </c>
      <c r="F226" s="22">
        <v>8000</v>
      </c>
      <c r="G226" s="21">
        <v>0</v>
      </c>
    </row>
    <row r="227" spans="1:7" x14ac:dyDescent="0.25">
      <c r="A227" s="38">
        <v>226</v>
      </c>
      <c r="B227" s="24" t="s">
        <v>122</v>
      </c>
      <c r="C227" s="23">
        <v>35</v>
      </c>
      <c r="D227" s="23">
        <f>SUMIF(ENTRADAS[[#All],[CODIGO]],PRODUCTOS[[#This Row],[CODIGO]],ENTRADAS[[#All],[CANTIDAD]])</f>
        <v>0</v>
      </c>
      <c r="E227" s="20">
        <f>SUMIF(SALIDAS[[#All],[CODIGO]],PRODUCTOS[[#This Row],[CODIGO]],SALIDAS[[#All],[CANTIDAD ]])</f>
        <v>0</v>
      </c>
      <c r="F227" s="22">
        <v>5000</v>
      </c>
      <c r="G227" s="21">
        <v>0</v>
      </c>
    </row>
    <row r="228" spans="1:7" x14ac:dyDescent="0.25">
      <c r="A228" s="39">
        <v>227</v>
      </c>
      <c r="B228" s="24" t="s">
        <v>121</v>
      </c>
      <c r="C228" s="23">
        <v>110</v>
      </c>
      <c r="D228" s="23">
        <f>SUMIF(ENTRADAS[[#All],[CODIGO]],PRODUCTOS[[#This Row],[CODIGO]],ENTRADAS[[#All],[CANTIDAD]])</f>
        <v>0</v>
      </c>
      <c r="E228" s="20">
        <f>SUMIF(SALIDAS[[#All],[CODIGO]],PRODUCTOS[[#This Row],[CODIGO]],SALIDAS[[#All],[CANTIDAD ]])</f>
        <v>0</v>
      </c>
      <c r="F228" s="22">
        <v>6000</v>
      </c>
      <c r="G228" s="21">
        <v>0</v>
      </c>
    </row>
    <row r="229" spans="1:7" x14ac:dyDescent="0.25">
      <c r="A229" s="38">
        <v>228</v>
      </c>
      <c r="B229" s="24" t="s">
        <v>120</v>
      </c>
      <c r="C229" s="23">
        <v>20</v>
      </c>
      <c r="D229" s="23">
        <f>SUMIF(ENTRADAS[[#All],[CODIGO]],PRODUCTOS[[#This Row],[CODIGO]],ENTRADAS[[#All],[CANTIDAD]])</f>
        <v>0</v>
      </c>
      <c r="E229" s="20">
        <f>SUMIF(SALIDAS[[#All],[CODIGO]],PRODUCTOS[[#This Row],[CODIGO]],SALIDAS[[#All],[CANTIDAD ]])</f>
        <v>0</v>
      </c>
      <c r="F229" s="22">
        <v>2500</v>
      </c>
      <c r="G229" s="21">
        <v>0</v>
      </c>
    </row>
    <row r="230" spans="1:7" x14ac:dyDescent="0.25">
      <c r="A230" s="38">
        <v>229</v>
      </c>
      <c r="B230" s="24" t="s">
        <v>119</v>
      </c>
      <c r="C230" s="23">
        <v>28</v>
      </c>
      <c r="D230" s="23">
        <f>SUMIF(ENTRADAS[[#All],[CODIGO]],PRODUCTOS[[#This Row],[CODIGO]],ENTRADAS[[#All],[CANTIDAD]])</f>
        <v>0</v>
      </c>
      <c r="E230" s="20">
        <f>SUMIF(SALIDAS[[#All],[CODIGO]],PRODUCTOS[[#This Row],[CODIGO]],SALIDAS[[#All],[CANTIDAD ]])</f>
        <v>0</v>
      </c>
      <c r="F230" s="22">
        <v>5000</v>
      </c>
      <c r="G230" s="21">
        <v>0</v>
      </c>
    </row>
    <row r="231" spans="1:7" x14ac:dyDescent="0.25">
      <c r="A231" s="39">
        <v>230</v>
      </c>
      <c r="B231" s="24" t="s">
        <v>118</v>
      </c>
      <c r="C231" s="23">
        <v>48</v>
      </c>
      <c r="D231" s="23">
        <f>SUMIF(ENTRADAS[[#All],[CODIGO]],PRODUCTOS[[#This Row],[CODIGO]],ENTRADAS[[#All],[CANTIDAD]])</f>
        <v>0</v>
      </c>
      <c r="E231" s="20">
        <f>SUMIF(SALIDAS[[#All],[CODIGO]],PRODUCTOS[[#This Row],[CODIGO]],SALIDAS[[#All],[CANTIDAD ]])</f>
        <v>0</v>
      </c>
      <c r="F231" s="22">
        <v>6500</v>
      </c>
      <c r="G231" s="21">
        <v>0</v>
      </c>
    </row>
    <row r="232" spans="1:7" x14ac:dyDescent="0.25">
      <c r="A232" s="38">
        <v>231</v>
      </c>
      <c r="B232" s="24" t="s">
        <v>117</v>
      </c>
      <c r="C232" s="23">
        <v>26</v>
      </c>
      <c r="D232" s="23">
        <f>SUMIF(ENTRADAS[[#All],[CODIGO]],PRODUCTOS[[#This Row],[CODIGO]],ENTRADAS[[#All],[CANTIDAD]])</f>
        <v>0</v>
      </c>
      <c r="E232" s="20">
        <f>SUMIF(SALIDAS[[#All],[CODIGO]],PRODUCTOS[[#This Row],[CODIGO]],SALIDAS[[#All],[CANTIDAD ]])</f>
        <v>0</v>
      </c>
      <c r="F232" s="22">
        <v>6500</v>
      </c>
      <c r="G232" s="21">
        <v>0</v>
      </c>
    </row>
    <row r="233" spans="1:7" x14ac:dyDescent="0.25">
      <c r="A233" s="38">
        <v>232</v>
      </c>
      <c r="B233" s="24" t="s">
        <v>116</v>
      </c>
      <c r="C233" s="23">
        <v>12</v>
      </c>
      <c r="D233" s="23">
        <f>SUMIF(ENTRADAS[[#All],[CODIGO]],PRODUCTOS[[#This Row],[CODIGO]],ENTRADAS[[#All],[CANTIDAD]])</f>
        <v>0</v>
      </c>
      <c r="E233" s="20">
        <f>SUMIF(SALIDAS[[#All],[CODIGO]],PRODUCTOS[[#This Row],[CODIGO]],SALIDAS[[#All],[CANTIDAD ]])</f>
        <v>0</v>
      </c>
      <c r="F233" s="22">
        <v>4800</v>
      </c>
      <c r="G233" s="21">
        <v>0</v>
      </c>
    </row>
    <row r="234" spans="1:7" x14ac:dyDescent="0.25">
      <c r="A234" s="39">
        <v>233</v>
      </c>
      <c r="B234" s="24" t="s">
        <v>115</v>
      </c>
      <c r="C234" s="23">
        <v>15</v>
      </c>
      <c r="D234" s="23">
        <f>SUMIF(ENTRADAS[[#All],[CODIGO]],PRODUCTOS[[#This Row],[CODIGO]],ENTRADAS[[#All],[CANTIDAD]])</f>
        <v>0</v>
      </c>
      <c r="E234" s="20">
        <f>SUMIF(SALIDAS[[#All],[CODIGO]],PRODUCTOS[[#This Row],[CODIGO]],SALIDAS[[#All],[CANTIDAD ]])</f>
        <v>0</v>
      </c>
      <c r="F234" s="22">
        <v>5000</v>
      </c>
      <c r="G234" s="21">
        <v>0</v>
      </c>
    </row>
    <row r="235" spans="1:7" x14ac:dyDescent="0.25">
      <c r="A235" s="38">
        <v>234</v>
      </c>
      <c r="B235" s="24" t="s">
        <v>424</v>
      </c>
      <c r="C235" s="23">
        <v>8</v>
      </c>
      <c r="D235" s="23">
        <f>SUMIF(ENTRADAS[[#All],[CODIGO]],PRODUCTOS[[#This Row],[CODIGO]],ENTRADAS[[#All],[CANTIDAD]])</f>
        <v>0</v>
      </c>
      <c r="E235" s="20">
        <f>SUMIF(SALIDAS[[#All],[CODIGO]],PRODUCTOS[[#This Row],[CODIGO]],SALIDAS[[#All],[CANTIDAD ]])</f>
        <v>0</v>
      </c>
      <c r="F235" s="22">
        <v>3000</v>
      </c>
      <c r="G235" s="21">
        <v>0</v>
      </c>
    </row>
    <row r="236" spans="1:7" x14ac:dyDescent="0.25">
      <c r="A236" s="38">
        <v>235</v>
      </c>
      <c r="B236" s="24" t="s">
        <v>114</v>
      </c>
      <c r="C236" s="23">
        <v>81</v>
      </c>
      <c r="D236" s="23">
        <f>SUMIF(ENTRADAS[[#All],[CODIGO]],PRODUCTOS[[#This Row],[CODIGO]],ENTRADAS[[#All],[CANTIDAD]])</f>
        <v>0</v>
      </c>
      <c r="E236" s="20">
        <f>SUMIF(SALIDAS[[#All],[CODIGO]],PRODUCTOS[[#This Row],[CODIGO]],SALIDAS[[#All],[CANTIDAD ]])</f>
        <v>0</v>
      </c>
      <c r="F236" s="22">
        <v>5000</v>
      </c>
      <c r="G236" s="21">
        <v>0</v>
      </c>
    </row>
    <row r="237" spans="1:7" x14ac:dyDescent="0.25">
      <c r="A237" s="39">
        <v>236</v>
      </c>
      <c r="B237" s="24" t="s">
        <v>113</v>
      </c>
      <c r="C237" s="23">
        <v>2</v>
      </c>
      <c r="D237" s="23">
        <f>SUMIF(ENTRADAS[[#All],[CODIGO]],PRODUCTOS[[#This Row],[CODIGO]],ENTRADAS[[#All],[CANTIDAD]])</f>
        <v>0</v>
      </c>
      <c r="E237" s="20">
        <f>SUMIF(SALIDAS[[#All],[CODIGO]],PRODUCTOS[[#This Row],[CODIGO]],SALIDAS[[#All],[CANTIDAD ]])</f>
        <v>0</v>
      </c>
      <c r="F237" s="22">
        <v>5000</v>
      </c>
      <c r="G237" s="21">
        <v>0</v>
      </c>
    </row>
    <row r="238" spans="1:7" x14ac:dyDescent="0.25">
      <c r="A238" s="38">
        <v>237</v>
      </c>
      <c r="B238" s="24" t="s">
        <v>112</v>
      </c>
      <c r="C238" s="23">
        <v>1</v>
      </c>
      <c r="D238" s="23">
        <f>SUMIF(ENTRADAS[[#All],[CODIGO]],PRODUCTOS[[#This Row],[CODIGO]],ENTRADAS[[#All],[CANTIDAD]])</f>
        <v>0</v>
      </c>
      <c r="E238" s="20">
        <f>SUMIF(SALIDAS[[#All],[CODIGO]],PRODUCTOS[[#This Row],[CODIGO]],SALIDAS[[#All],[CANTIDAD ]])</f>
        <v>0</v>
      </c>
      <c r="F238" s="22">
        <v>5000</v>
      </c>
      <c r="G238" s="21">
        <v>0</v>
      </c>
    </row>
    <row r="239" spans="1:7" x14ac:dyDescent="0.25">
      <c r="A239" s="38">
        <v>238</v>
      </c>
      <c r="B239" s="24" t="s">
        <v>111</v>
      </c>
      <c r="C239" s="23">
        <v>56</v>
      </c>
      <c r="D239" s="23">
        <f>SUMIF(ENTRADAS[[#All],[CODIGO]],PRODUCTOS[[#This Row],[CODIGO]],ENTRADAS[[#All],[CANTIDAD]])</f>
        <v>0</v>
      </c>
      <c r="E239" s="20">
        <f>SUMIF(SALIDAS[[#All],[CODIGO]],PRODUCTOS[[#This Row],[CODIGO]],SALIDAS[[#All],[CANTIDAD ]])</f>
        <v>0</v>
      </c>
      <c r="F239" s="22">
        <v>2000</v>
      </c>
      <c r="G239" s="21">
        <v>0</v>
      </c>
    </row>
    <row r="240" spans="1:7" x14ac:dyDescent="0.25">
      <c r="A240" s="39">
        <v>239</v>
      </c>
      <c r="B240" s="24" t="s">
        <v>110</v>
      </c>
      <c r="C240" s="23">
        <v>3</v>
      </c>
      <c r="D240" s="23">
        <f>SUMIF(ENTRADAS[[#All],[CODIGO]],PRODUCTOS[[#This Row],[CODIGO]],ENTRADAS[[#All],[CANTIDAD]])</f>
        <v>0</v>
      </c>
      <c r="E240" s="20">
        <f>SUMIF(SALIDAS[[#All],[CODIGO]],PRODUCTOS[[#This Row],[CODIGO]],SALIDAS[[#All],[CANTIDAD ]])</f>
        <v>0</v>
      </c>
      <c r="F240" s="22">
        <v>29500</v>
      </c>
      <c r="G240" s="21">
        <v>0</v>
      </c>
    </row>
    <row r="241" spans="1:7" x14ac:dyDescent="0.25">
      <c r="A241" s="38">
        <v>240</v>
      </c>
      <c r="B241" s="24" t="s">
        <v>109</v>
      </c>
      <c r="C241" s="23">
        <v>1</v>
      </c>
      <c r="D241" s="23">
        <f>SUMIF(ENTRADAS[[#All],[CODIGO]],PRODUCTOS[[#This Row],[CODIGO]],ENTRADAS[[#All],[CANTIDAD]])</f>
        <v>0</v>
      </c>
      <c r="E241" s="20">
        <f>SUMIF(SALIDAS[[#All],[CODIGO]],PRODUCTOS[[#This Row],[CODIGO]],SALIDAS[[#All],[CANTIDAD ]])</f>
        <v>0</v>
      </c>
      <c r="F241" s="22">
        <v>70000</v>
      </c>
      <c r="G241" s="21">
        <v>0</v>
      </c>
    </row>
    <row r="242" spans="1:7" x14ac:dyDescent="0.25">
      <c r="A242" s="38">
        <v>241</v>
      </c>
      <c r="B242" s="24" t="s">
        <v>108</v>
      </c>
      <c r="C242" s="23">
        <v>1</v>
      </c>
      <c r="D242" s="23">
        <f>SUMIF(ENTRADAS[[#All],[CODIGO]],PRODUCTOS[[#This Row],[CODIGO]],ENTRADAS[[#All],[CANTIDAD]])</f>
        <v>0</v>
      </c>
      <c r="E242" s="20">
        <f>SUMIF(SALIDAS[[#All],[CODIGO]],PRODUCTOS[[#This Row],[CODIGO]],SALIDAS[[#All],[CANTIDAD ]])</f>
        <v>0</v>
      </c>
      <c r="F242" s="22">
        <v>45000</v>
      </c>
      <c r="G242" s="21">
        <v>0</v>
      </c>
    </row>
    <row r="243" spans="1:7" x14ac:dyDescent="0.25">
      <c r="A243" s="39">
        <v>242</v>
      </c>
      <c r="B243" s="24" t="s">
        <v>107</v>
      </c>
      <c r="C243" s="23">
        <v>2</v>
      </c>
      <c r="D243" s="23">
        <f>SUMIF(ENTRADAS[[#All],[CODIGO]],PRODUCTOS[[#This Row],[CODIGO]],ENTRADAS[[#All],[CANTIDAD]])</f>
        <v>0</v>
      </c>
      <c r="E243" s="20">
        <f>SUMIF(SALIDAS[[#All],[CODIGO]],PRODUCTOS[[#This Row],[CODIGO]],SALIDAS[[#All],[CANTIDAD ]])</f>
        <v>0</v>
      </c>
      <c r="F243" s="22">
        <v>98000</v>
      </c>
      <c r="G243" s="21">
        <v>0</v>
      </c>
    </row>
    <row r="244" spans="1:7" x14ac:dyDescent="0.25">
      <c r="A244" s="38">
        <v>243</v>
      </c>
      <c r="B244" s="24" t="s">
        <v>106</v>
      </c>
      <c r="C244" s="23">
        <v>5</v>
      </c>
      <c r="D244" s="23">
        <f>SUMIF(ENTRADAS[[#All],[CODIGO]],PRODUCTOS[[#This Row],[CODIGO]],ENTRADAS[[#All],[CANTIDAD]])</f>
        <v>0</v>
      </c>
      <c r="E244" s="20">
        <f>SUMIF(SALIDAS[[#All],[CODIGO]],PRODUCTOS[[#This Row],[CODIGO]],SALIDAS[[#All],[CANTIDAD ]])</f>
        <v>0</v>
      </c>
      <c r="F244" s="22">
        <v>12000</v>
      </c>
      <c r="G244" s="21">
        <v>0</v>
      </c>
    </row>
    <row r="245" spans="1:7" x14ac:dyDescent="0.25">
      <c r="A245" s="38">
        <v>244</v>
      </c>
      <c r="B245" s="24" t="s">
        <v>105</v>
      </c>
      <c r="C245" s="23">
        <v>2</v>
      </c>
      <c r="D245" s="23">
        <f>SUMIF(ENTRADAS[[#All],[CODIGO]],PRODUCTOS[[#This Row],[CODIGO]],ENTRADAS[[#All],[CANTIDAD]])</f>
        <v>0</v>
      </c>
      <c r="E245" s="20">
        <f>SUMIF(SALIDAS[[#All],[CODIGO]],PRODUCTOS[[#This Row],[CODIGO]],SALIDAS[[#All],[CANTIDAD ]])</f>
        <v>0</v>
      </c>
      <c r="F245" s="22">
        <v>15000</v>
      </c>
      <c r="G245" s="21">
        <v>0</v>
      </c>
    </row>
    <row r="246" spans="1:7" x14ac:dyDescent="0.25">
      <c r="A246" s="39">
        <v>245</v>
      </c>
      <c r="B246" s="24" t="s">
        <v>104</v>
      </c>
      <c r="C246" s="23">
        <v>2</v>
      </c>
      <c r="D246" s="23">
        <f>SUMIF(ENTRADAS[[#All],[CODIGO]],PRODUCTOS[[#This Row],[CODIGO]],ENTRADAS[[#All],[CANTIDAD]])</f>
        <v>0</v>
      </c>
      <c r="E246" s="20">
        <f>SUMIF(SALIDAS[[#All],[CODIGO]],PRODUCTOS[[#This Row],[CODIGO]],SALIDAS[[#All],[CANTIDAD ]])</f>
        <v>0</v>
      </c>
      <c r="F246" s="22">
        <v>190000</v>
      </c>
      <c r="G246" s="21">
        <v>0</v>
      </c>
    </row>
    <row r="247" spans="1:7" x14ac:dyDescent="0.25">
      <c r="A247" s="38">
        <v>246</v>
      </c>
      <c r="B247" s="24" t="s">
        <v>103</v>
      </c>
      <c r="C247" s="23">
        <v>1</v>
      </c>
      <c r="D247" s="23">
        <f>SUMIF(ENTRADAS[[#All],[CODIGO]],PRODUCTOS[[#This Row],[CODIGO]],ENTRADAS[[#All],[CANTIDAD]])</f>
        <v>0</v>
      </c>
      <c r="E247" s="20">
        <f>SUMIF(SALIDAS[[#All],[CODIGO]],PRODUCTOS[[#This Row],[CODIGO]],SALIDAS[[#All],[CANTIDAD ]])</f>
        <v>0</v>
      </c>
      <c r="F247" s="22">
        <v>160000</v>
      </c>
      <c r="G247" s="21">
        <v>0</v>
      </c>
    </row>
    <row r="248" spans="1:7" x14ac:dyDescent="0.25">
      <c r="A248" s="38">
        <v>247</v>
      </c>
      <c r="B248" s="24" t="s">
        <v>102</v>
      </c>
      <c r="C248" s="23">
        <v>4</v>
      </c>
      <c r="D248" s="23">
        <f>SUMIF(ENTRADAS[[#All],[CODIGO]],PRODUCTOS[[#This Row],[CODIGO]],ENTRADAS[[#All],[CANTIDAD]])</f>
        <v>0</v>
      </c>
      <c r="E248" s="20">
        <f>SUMIF(SALIDAS[[#All],[CODIGO]],PRODUCTOS[[#This Row],[CODIGO]],SALIDAS[[#All],[CANTIDAD ]])</f>
        <v>0</v>
      </c>
      <c r="F248" s="22">
        <v>65000</v>
      </c>
      <c r="G248" s="21">
        <v>0</v>
      </c>
    </row>
    <row r="249" spans="1:7" x14ac:dyDescent="0.25">
      <c r="A249" s="39">
        <v>248</v>
      </c>
      <c r="B249" s="24" t="s">
        <v>101</v>
      </c>
      <c r="C249" s="23">
        <v>1</v>
      </c>
      <c r="D249" s="23">
        <f>SUMIF(ENTRADAS[[#All],[CODIGO]],PRODUCTOS[[#This Row],[CODIGO]],ENTRADAS[[#All],[CANTIDAD]])</f>
        <v>0</v>
      </c>
      <c r="E249" s="20">
        <f>SUMIF(SALIDAS[[#All],[CODIGO]],PRODUCTOS[[#This Row],[CODIGO]],SALIDAS[[#All],[CANTIDAD ]])</f>
        <v>0</v>
      </c>
      <c r="F249" s="22">
        <v>360000</v>
      </c>
      <c r="G249" s="21">
        <v>0</v>
      </c>
    </row>
    <row r="250" spans="1:7" x14ac:dyDescent="0.25">
      <c r="A250" s="38">
        <v>249</v>
      </c>
      <c r="B250" s="24" t="s">
        <v>100</v>
      </c>
      <c r="C250" s="23">
        <v>1</v>
      </c>
      <c r="D250" s="23">
        <f>SUMIF(ENTRADAS[[#All],[CODIGO]],PRODUCTOS[[#This Row],[CODIGO]],ENTRADAS[[#All],[CANTIDAD]])</f>
        <v>0</v>
      </c>
      <c r="E250" s="20">
        <f>SUMIF(SALIDAS[[#All],[CODIGO]],PRODUCTOS[[#This Row],[CODIGO]],SALIDAS[[#All],[CANTIDAD ]])</f>
        <v>0</v>
      </c>
      <c r="F250" s="22">
        <v>460000</v>
      </c>
      <c r="G250" s="21">
        <v>0</v>
      </c>
    </row>
    <row r="251" spans="1:7" x14ac:dyDescent="0.25">
      <c r="A251" s="38">
        <v>250</v>
      </c>
      <c r="B251" s="24" t="s">
        <v>99</v>
      </c>
      <c r="C251" s="23">
        <v>2</v>
      </c>
      <c r="D251" s="23">
        <f>SUMIF(ENTRADAS[[#All],[CODIGO]],PRODUCTOS[[#This Row],[CODIGO]],ENTRADAS[[#All],[CANTIDAD]])</f>
        <v>0</v>
      </c>
      <c r="E251" s="20">
        <f>SUMIF(SALIDAS[[#All],[CODIGO]],PRODUCTOS[[#This Row],[CODIGO]],SALIDAS[[#All],[CANTIDAD ]])</f>
        <v>0</v>
      </c>
      <c r="F251" s="22">
        <v>50000</v>
      </c>
      <c r="G251" s="21">
        <v>0</v>
      </c>
    </row>
    <row r="252" spans="1:7" x14ac:dyDescent="0.25">
      <c r="A252" s="39">
        <v>251</v>
      </c>
      <c r="B252" s="24" t="s">
        <v>98</v>
      </c>
      <c r="C252" s="23">
        <v>4</v>
      </c>
      <c r="D252" s="23">
        <f>SUMIF(ENTRADAS[[#All],[CODIGO]],PRODUCTOS[[#This Row],[CODIGO]],ENTRADAS[[#All],[CANTIDAD]])</f>
        <v>0</v>
      </c>
      <c r="E252" s="20">
        <f>SUMIF(SALIDAS[[#All],[CODIGO]],PRODUCTOS[[#This Row],[CODIGO]],SALIDAS[[#All],[CANTIDAD ]])</f>
        <v>0</v>
      </c>
      <c r="F252" s="22">
        <v>95000</v>
      </c>
      <c r="G252" s="21">
        <v>0</v>
      </c>
    </row>
    <row r="253" spans="1:7" x14ac:dyDescent="0.25">
      <c r="A253" s="38">
        <v>252</v>
      </c>
      <c r="B253" s="24" t="s">
        <v>97</v>
      </c>
      <c r="C253" s="23">
        <v>3</v>
      </c>
      <c r="D253" s="23">
        <f>SUMIF(ENTRADAS[[#All],[CODIGO]],PRODUCTOS[[#This Row],[CODIGO]],ENTRADAS[[#All],[CANTIDAD]])</f>
        <v>0</v>
      </c>
      <c r="E253" s="20">
        <f>SUMIF(SALIDAS[[#All],[CODIGO]],PRODUCTOS[[#This Row],[CODIGO]],SALIDAS[[#All],[CANTIDAD ]])</f>
        <v>0</v>
      </c>
      <c r="F253" s="22">
        <v>90000</v>
      </c>
      <c r="G253" s="21">
        <v>0</v>
      </c>
    </row>
    <row r="254" spans="1:7" x14ac:dyDescent="0.25">
      <c r="A254" s="38">
        <v>253</v>
      </c>
      <c r="B254" s="24" t="s">
        <v>96</v>
      </c>
      <c r="C254" s="23">
        <v>1</v>
      </c>
      <c r="D254" s="23">
        <f>SUMIF(ENTRADAS[[#All],[CODIGO]],PRODUCTOS[[#This Row],[CODIGO]],ENTRADAS[[#All],[CANTIDAD]])</f>
        <v>0</v>
      </c>
      <c r="E254" s="20">
        <f>SUMIF(SALIDAS[[#All],[CODIGO]],PRODUCTOS[[#This Row],[CODIGO]],SALIDAS[[#All],[CANTIDAD ]])</f>
        <v>0</v>
      </c>
      <c r="F254" s="22">
        <v>110000</v>
      </c>
      <c r="G254" s="21">
        <v>0</v>
      </c>
    </row>
    <row r="255" spans="1:7" x14ac:dyDescent="0.25">
      <c r="A255" s="39">
        <v>254</v>
      </c>
      <c r="B255" s="24" t="s">
        <v>95</v>
      </c>
      <c r="C255" s="23">
        <v>2</v>
      </c>
      <c r="D255" s="23">
        <f>SUMIF(ENTRADAS[[#All],[CODIGO]],PRODUCTOS[[#This Row],[CODIGO]],ENTRADAS[[#All],[CANTIDAD]])</f>
        <v>0</v>
      </c>
      <c r="E255" s="20">
        <f>SUMIF(SALIDAS[[#All],[CODIGO]],PRODUCTOS[[#This Row],[CODIGO]],SALIDAS[[#All],[CANTIDAD ]])</f>
        <v>0</v>
      </c>
      <c r="F255" s="22">
        <v>100000</v>
      </c>
      <c r="G255" s="21">
        <v>0</v>
      </c>
    </row>
    <row r="256" spans="1:7" x14ac:dyDescent="0.25">
      <c r="A256" s="38">
        <v>255</v>
      </c>
      <c r="B256" s="24" t="s">
        <v>94</v>
      </c>
      <c r="C256" s="23">
        <v>2</v>
      </c>
      <c r="D256" s="23">
        <f>SUMIF(ENTRADAS[[#All],[CODIGO]],PRODUCTOS[[#This Row],[CODIGO]],ENTRADAS[[#All],[CANTIDAD]])</f>
        <v>0</v>
      </c>
      <c r="E256" s="20">
        <f>SUMIF(SALIDAS[[#All],[CODIGO]],PRODUCTOS[[#This Row],[CODIGO]],SALIDAS[[#All],[CANTIDAD ]])</f>
        <v>0</v>
      </c>
      <c r="F256" s="22">
        <v>25000</v>
      </c>
      <c r="G256" s="21">
        <v>0</v>
      </c>
    </row>
    <row r="257" spans="1:7" x14ac:dyDescent="0.25">
      <c r="A257" s="38">
        <v>256</v>
      </c>
      <c r="B257" s="24" t="s">
        <v>93</v>
      </c>
      <c r="C257" s="23">
        <v>1</v>
      </c>
      <c r="D257" s="23">
        <f>SUMIF(ENTRADAS[[#All],[CODIGO]],PRODUCTOS[[#This Row],[CODIGO]],ENTRADAS[[#All],[CANTIDAD]])</f>
        <v>0</v>
      </c>
      <c r="E257" s="20">
        <f>SUMIF(SALIDAS[[#All],[CODIGO]],PRODUCTOS[[#This Row],[CODIGO]],SALIDAS[[#All],[CANTIDAD ]])</f>
        <v>0</v>
      </c>
      <c r="F257" s="22">
        <v>65000</v>
      </c>
      <c r="G257" s="21">
        <v>0</v>
      </c>
    </row>
    <row r="258" spans="1:7" x14ac:dyDescent="0.25">
      <c r="A258" s="39">
        <v>257</v>
      </c>
      <c r="B258" s="24" t="s">
        <v>92</v>
      </c>
      <c r="C258" s="23">
        <v>2</v>
      </c>
      <c r="D258" s="23">
        <f>SUMIF(ENTRADAS[[#All],[CODIGO]],PRODUCTOS[[#This Row],[CODIGO]],ENTRADAS[[#All],[CANTIDAD]])</f>
        <v>0</v>
      </c>
      <c r="E258" s="20">
        <f>SUMIF(SALIDAS[[#All],[CODIGO]],PRODUCTOS[[#This Row],[CODIGO]],SALIDAS[[#All],[CANTIDAD ]])</f>
        <v>0</v>
      </c>
      <c r="F258" s="22">
        <v>60000</v>
      </c>
      <c r="G258" s="21">
        <v>0</v>
      </c>
    </row>
    <row r="259" spans="1:7" x14ac:dyDescent="0.25">
      <c r="A259" s="38">
        <v>258</v>
      </c>
      <c r="B259" s="24" t="s">
        <v>91</v>
      </c>
      <c r="C259" s="23">
        <v>2</v>
      </c>
      <c r="D259" s="23">
        <f>SUMIF(ENTRADAS[[#All],[CODIGO]],PRODUCTOS[[#This Row],[CODIGO]],ENTRADAS[[#All],[CANTIDAD]])</f>
        <v>0</v>
      </c>
      <c r="E259" s="20">
        <f>SUMIF(SALIDAS[[#All],[CODIGO]],PRODUCTOS[[#This Row],[CODIGO]],SALIDAS[[#All],[CANTIDAD ]])</f>
        <v>0</v>
      </c>
      <c r="F259" s="22">
        <v>80000</v>
      </c>
      <c r="G259" s="21">
        <v>0</v>
      </c>
    </row>
    <row r="260" spans="1:7" x14ac:dyDescent="0.25">
      <c r="A260" s="38">
        <v>259</v>
      </c>
      <c r="B260" s="24" t="s">
        <v>90</v>
      </c>
      <c r="C260" s="23">
        <v>1</v>
      </c>
      <c r="D260" s="23">
        <f>SUMIF(ENTRADAS[[#All],[CODIGO]],PRODUCTOS[[#This Row],[CODIGO]],ENTRADAS[[#All],[CANTIDAD]])</f>
        <v>0</v>
      </c>
      <c r="E260" s="20">
        <f>SUMIF(SALIDAS[[#All],[CODIGO]],PRODUCTOS[[#This Row],[CODIGO]],SALIDAS[[#All],[CANTIDAD ]])</f>
        <v>0</v>
      </c>
      <c r="F260" s="22">
        <v>95000</v>
      </c>
      <c r="G260" s="21">
        <v>0</v>
      </c>
    </row>
    <row r="261" spans="1:7" x14ac:dyDescent="0.25">
      <c r="A261" s="39">
        <v>260</v>
      </c>
      <c r="B261" s="24" t="s">
        <v>89</v>
      </c>
      <c r="C261" s="23">
        <v>1</v>
      </c>
      <c r="D261" s="23">
        <f>SUMIF(ENTRADAS[[#All],[CODIGO]],PRODUCTOS[[#This Row],[CODIGO]],ENTRADAS[[#All],[CANTIDAD]])</f>
        <v>0</v>
      </c>
      <c r="E261" s="20">
        <f>SUMIF(SALIDAS[[#All],[CODIGO]],PRODUCTOS[[#This Row],[CODIGO]],SALIDAS[[#All],[CANTIDAD ]])</f>
        <v>0</v>
      </c>
      <c r="F261" s="22">
        <v>98000</v>
      </c>
      <c r="G261" s="21">
        <v>0</v>
      </c>
    </row>
    <row r="262" spans="1:7" x14ac:dyDescent="0.25">
      <c r="A262" s="38">
        <v>261</v>
      </c>
      <c r="B262" s="24" t="s">
        <v>88</v>
      </c>
      <c r="C262" s="23">
        <v>2</v>
      </c>
      <c r="D262" s="23">
        <f>SUMIF(ENTRADAS[[#All],[CODIGO]],PRODUCTOS[[#This Row],[CODIGO]],ENTRADAS[[#All],[CANTIDAD]])</f>
        <v>0</v>
      </c>
      <c r="E262" s="20">
        <f>SUMIF(SALIDAS[[#All],[CODIGO]],PRODUCTOS[[#This Row],[CODIGO]],SALIDAS[[#All],[CANTIDAD ]])</f>
        <v>0</v>
      </c>
      <c r="F262" s="22">
        <v>70000</v>
      </c>
      <c r="G262" s="21">
        <v>0</v>
      </c>
    </row>
    <row r="263" spans="1:7" x14ac:dyDescent="0.25">
      <c r="A263" s="38">
        <v>262</v>
      </c>
      <c r="B263" s="24" t="s">
        <v>87</v>
      </c>
      <c r="C263" s="23">
        <v>1</v>
      </c>
      <c r="D263" s="23">
        <f>SUMIF(ENTRADAS[[#All],[CODIGO]],PRODUCTOS[[#This Row],[CODIGO]],ENTRADAS[[#All],[CANTIDAD]])</f>
        <v>0</v>
      </c>
      <c r="E263" s="20">
        <f>SUMIF(SALIDAS[[#All],[CODIGO]],PRODUCTOS[[#This Row],[CODIGO]],SALIDAS[[#All],[CANTIDAD ]])</f>
        <v>0</v>
      </c>
      <c r="F263" s="22">
        <v>150000</v>
      </c>
      <c r="G263" s="21">
        <v>0</v>
      </c>
    </row>
    <row r="264" spans="1:7" x14ac:dyDescent="0.25">
      <c r="A264" s="39">
        <v>263</v>
      </c>
      <c r="B264" s="24" t="s">
        <v>86</v>
      </c>
      <c r="C264" s="23">
        <v>2</v>
      </c>
      <c r="D264" s="23">
        <f>SUMIF(ENTRADAS[[#All],[CODIGO]],PRODUCTOS[[#This Row],[CODIGO]],ENTRADAS[[#All],[CANTIDAD]])</f>
        <v>0</v>
      </c>
      <c r="E264" s="20">
        <f>SUMIF(SALIDAS[[#All],[CODIGO]],PRODUCTOS[[#This Row],[CODIGO]],SALIDAS[[#All],[CANTIDAD ]])</f>
        <v>0</v>
      </c>
      <c r="F264" s="22">
        <v>95000</v>
      </c>
      <c r="G264" s="21">
        <v>0</v>
      </c>
    </row>
    <row r="265" spans="1:7" x14ac:dyDescent="0.25">
      <c r="A265" s="38">
        <v>264</v>
      </c>
      <c r="B265" s="24" t="s">
        <v>85</v>
      </c>
      <c r="C265" s="23">
        <v>2</v>
      </c>
      <c r="D265" s="23">
        <f>SUMIF(ENTRADAS[[#All],[CODIGO]],PRODUCTOS[[#This Row],[CODIGO]],ENTRADAS[[#All],[CANTIDAD]])</f>
        <v>0</v>
      </c>
      <c r="E265" s="20">
        <f>SUMIF(SALIDAS[[#All],[CODIGO]],PRODUCTOS[[#This Row],[CODIGO]],SALIDAS[[#All],[CANTIDAD ]])</f>
        <v>0</v>
      </c>
      <c r="F265" s="22">
        <v>60000</v>
      </c>
      <c r="G265" s="21">
        <v>0</v>
      </c>
    </row>
    <row r="266" spans="1:7" x14ac:dyDescent="0.25">
      <c r="A266" s="38">
        <v>265</v>
      </c>
      <c r="B266" s="24" t="s">
        <v>84</v>
      </c>
      <c r="C266" s="23">
        <v>1</v>
      </c>
      <c r="D266" s="23">
        <f>SUMIF(ENTRADAS[[#All],[CODIGO]],PRODUCTOS[[#This Row],[CODIGO]],ENTRADAS[[#All],[CANTIDAD]])</f>
        <v>0</v>
      </c>
      <c r="E266" s="20">
        <f>SUMIF(SALIDAS[[#All],[CODIGO]],PRODUCTOS[[#This Row],[CODIGO]],SALIDAS[[#All],[CANTIDAD ]])</f>
        <v>0</v>
      </c>
      <c r="F266" s="22">
        <v>150000</v>
      </c>
      <c r="G266" s="21">
        <v>0</v>
      </c>
    </row>
    <row r="267" spans="1:7" x14ac:dyDescent="0.25">
      <c r="A267" s="39">
        <v>266</v>
      </c>
      <c r="B267" s="24" t="s">
        <v>83</v>
      </c>
      <c r="C267" s="23">
        <v>3</v>
      </c>
      <c r="D267" s="23">
        <f>SUMIF(ENTRADAS[[#All],[CODIGO]],PRODUCTOS[[#This Row],[CODIGO]],ENTRADAS[[#All],[CANTIDAD]])</f>
        <v>0</v>
      </c>
      <c r="E267" s="20">
        <f>SUMIF(SALIDAS[[#All],[CODIGO]],PRODUCTOS[[#This Row],[CODIGO]],SALIDAS[[#All],[CANTIDAD ]])</f>
        <v>0</v>
      </c>
      <c r="F267" s="22">
        <v>25000</v>
      </c>
      <c r="G267" s="21">
        <v>0</v>
      </c>
    </row>
    <row r="268" spans="1:7" x14ac:dyDescent="0.25">
      <c r="A268" s="38">
        <v>267</v>
      </c>
      <c r="B268" s="24" t="s">
        <v>82</v>
      </c>
      <c r="C268" s="23">
        <v>3</v>
      </c>
      <c r="D268" s="23">
        <f>SUMIF(ENTRADAS[[#All],[CODIGO]],PRODUCTOS[[#This Row],[CODIGO]],ENTRADAS[[#All],[CANTIDAD]])</f>
        <v>0</v>
      </c>
      <c r="E268" s="20">
        <f>SUMIF(SALIDAS[[#All],[CODIGO]],PRODUCTOS[[#This Row],[CODIGO]],SALIDAS[[#All],[CANTIDAD ]])</f>
        <v>0</v>
      </c>
      <c r="F268" s="22">
        <v>25000</v>
      </c>
      <c r="G268" s="21">
        <v>0</v>
      </c>
    </row>
    <row r="269" spans="1:7" x14ac:dyDescent="0.25">
      <c r="A269" s="38">
        <v>268</v>
      </c>
      <c r="B269" s="24" t="s">
        <v>81</v>
      </c>
      <c r="C269" s="23">
        <v>5</v>
      </c>
      <c r="D269" s="23">
        <f>SUMIF(ENTRADAS[[#All],[CODIGO]],PRODUCTOS[[#This Row],[CODIGO]],ENTRADAS[[#All],[CANTIDAD]])</f>
        <v>0</v>
      </c>
      <c r="E269" s="20">
        <f>SUMIF(SALIDAS[[#All],[CODIGO]],PRODUCTOS[[#This Row],[CODIGO]],SALIDAS[[#All],[CANTIDAD ]])</f>
        <v>0</v>
      </c>
      <c r="F269" s="22">
        <v>15000</v>
      </c>
      <c r="G269" s="21">
        <v>0</v>
      </c>
    </row>
    <row r="270" spans="1:7" x14ac:dyDescent="0.25">
      <c r="A270" s="39">
        <v>269</v>
      </c>
      <c r="B270" s="24" t="s">
        <v>80</v>
      </c>
      <c r="C270" s="23">
        <v>6</v>
      </c>
      <c r="D270" s="23">
        <f>SUMIF(ENTRADAS[[#All],[CODIGO]],PRODUCTOS[[#This Row],[CODIGO]],ENTRADAS[[#All],[CANTIDAD]])</f>
        <v>0</v>
      </c>
      <c r="E270" s="20">
        <f>SUMIF(SALIDAS[[#All],[CODIGO]],PRODUCTOS[[#This Row],[CODIGO]],SALIDAS[[#All],[CANTIDAD ]])</f>
        <v>0</v>
      </c>
      <c r="F270" s="22">
        <v>10000</v>
      </c>
      <c r="G270" s="21">
        <v>0</v>
      </c>
    </row>
    <row r="271" spans="1:7" x14ac:dyDescent="0.25">
      <c r="A271" s="38">
        <v>270</v>
      </c>
      <c r="B271" s="24" t="s">
        <v>79</v>
      </c>
      <c r="C271" s="23">
        <v>4</v>
      </c>
      <c r="D271" s="23">
        <f>SUMIF(ENTRADAS[[#All],[CODIGO]],PRODUCTOS[[#This Row],[CODIGO]],ENTRADAS[[#All],[CANTIDAD]])</f>
        <v>0</v>
      </c>
      <c r="E271" s="20">
        <f>SUMIF(SALIDAS[[#All],[CODIGO]],PRODUCTOS[[#This Row],[CODIGO]],SALIDAS[[#All],[CANTIDAD ]])</f>
        <v>0</v>
      </c>
      <c r="F271" s="22">
        <v>35000</v>
      </c>
      <c r="G271" s="21">
        <v>0</v>
      </c>
    </row>
    <row r="272" spans="1:7" x14ac:dyDescent="0.25">
      <c r="A272" s="38">
        <v>271</v>
      </c>
      <c r="B272" s="24" t="s">
        <v>78</v>
      </c>
      <c r="C272" s="23">
        <v>5</v>
      </c>
      <c r="D272" s="23">
        <f>SUMIF(ENTRADAS[[#All],[CODIGO]],PRODUCTOS[[#This Row],[CODIGO]],ENTRADAS[[#All],[CANTIDAD]])</f>
        <v>0</v>
      </c>
      <c r="E272" s="20">
        <f>SUMIF(SALIDAS[[#All],[CODIGO]],PRODUCTOS[[#This Row],[CODIGO]],SALIDAS[[#All],[CANTIDAD ]])</f>
        <v>0</v>
      </c>
      <c r="F272" s="22">
        <v>25000</v>
      </c>
      <c r="G272" s="21">
        <v>0</v>
      </c>
    </row>
    <row r="273" spans="1:7" x14ac:dyDescent="0.25">
      <c r="A273" s="39">
        <v>272</v>
      </c>
      <c r="B273" s="24" t="s">
        <v>77</v>
      </c>
      <c r="C273" s="23">
        <v>4</v>
      </c>
      <c r="D273" s="23">
        <f>SUMIF(ENTRADAS[[#All],[CODIGO]],PRODUCTOS[[#This Row],[CODIGO]],ENTRADAS[[#All],[CANTIDAD]])</f>
        <v>0</v>
      </c>
      <c r="E273" s="20">
        <f>SUMIF(SALIDAS[[#All],[CODIGO]],PRODUCTOS[[#This Row],[CODIGO]],SALIDAS[[#All],[CANTIDAD ]])</f>
        <v>0</v>
      </c>
      <c r="F273" s="22">
        <v>20000</v>
      </c>
      <c r="G273" s="21">
        <v>0</v>
      </c>
    </row>
    <row r="274" spans="1:7" x14ac:dyDescent="0.25">
      <c r="A274" s="38">
        <v>273</v>
      </c>
      <c r="B274" s="24" t="s">
        <v>76</v>
      </c>
      <c r="C274" s="23">
        <v>5</v>
      </c>
      <c r="D274" s="23">
        <f>SUMIF(ENTRADAS[[#All],[CODIGO]],PRODUCTOS[[#This Row],[CODIGO]],ENTRADAS[[#All],[CANTIDAD]])</f>
        <v>0</v>
      </c>
      <c r="E274" s="20">
        <f>SUMIF(SALIDAS[[#All],[CODIGO]],PRODUCTOS[[#This Row],[CODIGO]],SALIDAS[[#All],[CANTIDAD ]])</f>
        <v>0</v>
      </c>
      <c r="F274" s="22">
        <v>16000</v>
      </c>
      <c r="G274" s="21">
        <v>0</v>
      </c>
    </row>
    <row r="275" spans="1:7" x14ac:dyDescent="0.25">
      <c r="A275" s="38">
        <v>274</v>
      </c>
      <c r="B275" s="24" t="s">
        <v>75</v>
      </c>
      <c r="C275" s="23">
        <v>5</v>
      </c>
      <c r="D275" s="23">
        <f>SUMIF(ENTRADAS[[#All],[CODIGO]],PRODUCTOS[[#This Row],[CODIGO]],ENTRADAS[[#All],[CANTIDAD]])</f>
        <v>0</v>
      </c>
      <c r="E275" s="20">
        <f>SUMIF(SALIDAS[[#All],[CODIGO]],PRODUCTOS[[#This Row],[CODIGO]],SALIDAS[[#All],[CANTIDAD ]])</f>
        <v>0</v>
      </c>
      <c r="F275" s="22">
        <v>35000</v>
      </c>
      <c r="G275" s="21">
        <v>0</v>
      </c>
    </row>
    <row r="276" spans="1:7" x14ac:dyDescent="0.25">
      <c r="A276" s="39">
        <v>275</v>
      </c>
      <c r="B276" s="24" t="s">
        <v>74</v>
      </c>
      <c r="C276" s="23">
        <v>3</v>
      </c>
      <c r="D276" s="23">
        <f>SUMIF(ENTRADAS[[#All],[CODIGO]],PRODUCTOS[[#This Row],[CODIGO]],ENTRADAS[[#All],[CANTIDAD]])</f>
        <v>0</v>
      </c>
      <c r="E276" s="20">
        <f>SUMIF(SALIDAS[[#All],[CODIGO]],PRODUCTOS[[#This Row],[CODIGO]],SALIDAS[[#All],[CANTIDAD ]])</f>
        <v>0</v>
      </c>
      <c r="F276" s="22">
        <v>20000</v>
      </c>
      <c r="G276" s="21">
        <v>0</v>
      </c>
    </row>
    <row r="277" spans="1:7" x14ac:dyDescent="0.25">
      <c r="A277" s="38">
        <v>276</v>
      </c>
      <c r="B277" s="24" t="s">
        <v>73</v>
      </c>
      <c r="C277" s="23">
        <v>5</v>
      </c>
      <c r="D277" s="23">
        <f>SUMIF(ENTRADAS[[#All],[CODIGO]],PRODUCTOS[[#This Row],[CODIGO]],ENTRADAS[[#All],[CANTIDAD]])</f>
        <v>0</v>
      </c>
      <c r="E277" s="20">
        <f>SUMIF(SALIDAS[[#All],[CODIGO]],PRODUCTOS[[#This Row],[CODIGO]],SALIDAS[[#All],[CANTIDAD ]])</f>
        <v>0</v>
      </c>
      <c r="F277" s="22">
        <v>13000</v>
      </c>
      <c r="G277" s="21">
        <v>0</v>
      </c>
    </row>
    <row r="278" spans="1:7" x14ac:dyDescent="0.25">
      <c r="A278" s="38">
        <v>277</v>
      </c>
      <c r="B278" s="24" t="s">
        <v>72</v>
      </c>
      <c r="C278" s="23" t="s">
        <v>71</v>
      </c>
      <c r="D278" s="23">
        <f>SUMIF(ENTRADAS[[#All],[CODIGO]],PRODUCTOS[[#This Row],[CODIGO]],ENTRADAS[[#All],[CANTIDAD]])</f>
        <v>0</v>
      </c>
      <c r="E278" s="20">
        <f>SUMIF(SALIDAS[[#All],[CODIGO]],PRODUCTOS[[#This Row],[CODIGO]],SALIDAS[[#All],[CANTIDAD ]])</f>
        <v>0</v>
      </c>
      <c r="F278" s="22">
        <v>25000</v>
      </c>
      <c r="G278" s="21">
        <v>0</v>
      </c>
    </row>
    <row r="279" spans="1:7" x14ac:dyDescent="0.25">
      <c r="A279" s="39">
        <v>278</v>
      </c>
      <c r="B279" s="24" t="s">
        <v>70</v>
      </c>
      <c r="C279" s="23">
        <v>1</v>
      </c>
      <c r="D279" s="23">
        <f>SUMIF(ENTRADAS[[#All],[CODIGO]],PRODUCTOS[[#This Row],[CODIGO]],ENTRADAS[[#All],[CANTIDAD]])</f>
        <v>0</v>
      </c>
      <c r="E279" s="20">
        <f>SUMIF(SALIDAS[[#All],[CODIGO]],PRODUCTOS[[#This Row],[CODIGO]],SALIDAS[[#All],[CANTIDAD ]])</f>
        <v>0</v>
      </c>
      <c r="F279" s="22">
        <v>30000</v>
      </c>
      <c r="G279" s="21">
        <v>0</v>
      </c>
    </row>
    <row r="280" spans="1:7" x14ac:dyDescent="0.25">
      <c r="A280" s="38">
        <v>279</v>
      </c>
      <c r="B280" s="24" t="s">
        <v>69</v>
      </c>
      <c r="C280" s="23">
        <v>3</v>
      </c>
      <c r="D280" s="23">
        <f>SUMIF(ENTRADAS[[#All],[CODIGO]],PRODUCTOS[[#This Row],[CODIGO]],ENTRADAS[[#All],[CANTIDAD]])</f>
        <v>0</v>
      </c>
      <c r="E280" s="20">
        <f>SUMIF(SALIDAS[[#All],[CODIGO]],PRODUCTOS[[#This Row],[CODIGO]],SALIDAS[[#All],[CANTIDAD ]])</f>
        <v>0</v>
      </c>
      <c r="F280" s="22">
        <v>40000</v>
      </c>
      <c r="G280" s="21">
        <v>0</v>
      </c>
    </row>
    <row r="281" spans="1:7" x14ac:dyDescent="0.25">
      <c r="A281" s="38">
        <v>280</v>
      </c>
      <c r="B281" s="24" t="s">
        <v>68</v>
      </c>
      <c r="C281" s="23">
        <v>1</v>
      </c>
      <c r="D281" s="23">
        <f>SUMIF(ENTRADAS[[#All],[CODIGO]],PRODUCTOS[[#This Row],[CODIGO]],ENTRADAS[[#All],[CANTIDAD]])</f>
        <v>0</v>
      </c>
      <c r="E281" s="20">
        <f>SUMIF(SALIDAS[[#All],[CODIGO]],PRODUCTOS[[#This Row],[CODIGO]],SALIDAS[[#All],[CANTIDAD ]])</f>
        <v>0</v>
      </c>
      <c r="F281" s="22">
        <v>68000</v>
      </c>
      <c r="G281" s="21">
        <v>0</v>
      </c>
    </row>
    <row r="282" spans="1:7" x14ac:dyDescent="0.25">
      <c r="A282" s="39">
        <v>281</v>
      </c>
      <c r="B282" s="24" t="s">
        <v>67</v>
      </c>
      <c r="C282" s="23">
        <v>2</v>
      </c>
      <c r="D282" s="23">
        <f>SUMIF(ENTRADAS[[#All],[CODIGO]],PRODUCTOS[[#This Row],[CODIGO]],ENTRADAS[[#All],[CANTIDAD]])</f>
        <v>0</v>
      </c>
      <c r="E282" s="20">
        <f>SUMIF(SALIDAS[[#All],[CODIGO]],PRODUCTOS[[#This Row],[CODIGO]],SALIDAS[[#All],[CANTIDAD ]])</f>
        <v>0</v>
      </c>
      <c r="F282" s="22">
        <v>60000</v>
      </c>
      <c r="G282" s="21">
        <v>0</v>
      </c>
    </row>
    <row r="283" spans="1:7" x14ac:dyDescent="0.25">
      <c r="A283" s="38">
        <v>282</v>
      </c>
      <c r="B283" s="24" t="s">
        <v>66</v>
      </c>
      <c r="C283" s="23">
        <v>2</v>
      </c>
      <c r="D283" s="23">
        <f>SUMIF(ENTRADAS[[#All],[CODIGO]],PRODUCTOS[[#This Row],[CODIGO]],ENTRADAS[[#All],[CANTIDAD]])</f>
        <v>0</v>
      </c>
      <c r="E283" s="20">
        <f>SUMIF(SALIDAS[[#All],[CODIGO]],PRODUCTOS[[#This Row],[CODIGO]],SALIDAS[[#All],[CANTIDAD ]])</f>
        <v>0</v>
      </c>
      <c r="F283" s="22">
        <v>60000</v>
      </c>
      <c r="G283" s="21">
        <v>0</v>
      </c>
    </row>
    <row r="284" spans="1:7" x14ac:dyDescent="0.25">
      <c r="A284" s="38">
        <v>283</v>
      </c>
      <c r="B284" s="24" t="s">
        <v>65</v>
      </c>
      <c r="C284" s="23">
        <v>2</v>
      </c>
      <c r="D284" s="23">
        <f>SUMIF(ENTRADAS[[#All],[CODIGO]],PRODUCTOS[[#This Row],[CODIGO]],ENTRADAS[[#All],[CANTIDAD]])</f>
        <v>0</v>
      </c>
      <c r="E284" s="20">
        <f>SUMIF(SALIDAS[[#All],[CODIGO]],PRODUCTOS[[#This Row],[CODIGO]],SALIDAS[[#All],[CANTIDAD ]])</f>
        <v>0</v>
      </c>
      <c r="F284" s="22">
        <v>55000</v>
      </c>
      <c r="G284" s="21">
        <v>0</v>
      </c>
    </row>
    <row r="285" spans="1:7" x14ac:dyDescent="0.25">
      <c r="A285" s="39">
        <v>284</v>
      </c>
      <c r="B285" s="24" t="s">
        <v>64</v>
      </c>
      <c r="C285" s="23">
        <v>4</v>
      </c>
      <c r="D285" s="23">
        <f>SUMIF(ENTRADAS[[#All],[CODIGO]],PRODUCTOS[[#This Row],[CODIGO]],ENTRADAS[[#All],[CANTIDAD]])</f>
        <v>0</v>
      </c>
      <c r="E285" s="20">
        <f>SUMIF(SALIDAS[[#All],[CODIGO]],PRODUCTOS[[#This Row],[CODIGO]],SALIDAS[[#All],[CANTIDAD ]])</f>
        <v>0</v>
      </c>
      <c r="F285" s="22">
        <v>70000</v>
      </c>
      <c r="G285" s="21">
        <v>0</v>
      </c>
    </row>
    <row r="286" spans="1:7" x14ac:dyDescent="0.25">
      <c r="A286" s="38">
        <v>285</v>
      </c>
      <c r="B286" s="24" t="s">
        <v>63</v>
      </c>
      <c r="C286" s="23">
        <v>3</v>
      </c>
      <c r="D286" s="23">
        <f>SUMIF(ENTRADAS[[#All],[CODIGO]],PRODUCTOS[[#This Row],[CODIGO]],ENTRADAS[[#All],[CANTIDAD]])</f>
        <v>0</v>
      </c>
      <c r="E286" s="20">
        <f>SUMIF(SALIDAS[[#All],[CODIGO]],PRODUCTOS[[#This Row],[CODIGO]],SALIDAS[[#All],[CANTIDAD ]])</f>
        <v>0</v>
      </c>
      <c r="F286" s="22">
        <v>12000</v>
      </c>
      <c r="G286" s="21">
        <v>0</v>
      </c>
    </row>
    <row r="287" spans="1:7" x14ac:dyDescent="0.25">
      <c r="A287" s="38">
        <v>286</v>
      </c>
      <c r="B287" s="24" t="s">
        <v>62</v>
      </c>
      <c r="C287" s="23">
        <v>2</v>
      </c>
      <c r="D287" s="23">
        <f>SUMIF(ENTRADAS[[#All],[CODIGO]],PRODUCTOS[[#This Row],[CODIGO]],ENTRADAS[[#All],[CANTIDAD]])</f>
        <v>0</v>
      </c>
      <c r="E287" s="20">
        <f>SUMIF(SALIDAS[[#All],[CODIGO]],PRODUCTOS[[#This Row],[CODIGO]],SALIDAS[[#All],[CANTIDAD ]])</f>
        <v>0</v>
      </c>
      <c r="F287" s="22">
        <v>107000</v>
      </c>
      <c r="G287" s="21">
        <v>0</v>
      </c>
    </row>
    <row r="288" spans="1:7" x14ac:dyDescent="0.25">
      <c r="A288" s="39">
        <v>287</v>
      </c>
      <c r="B288" s="24" t="s">
        <v>61</v>
      </c>
      <c r="C288" s="23">
        <v>5</v>
      </c>
      <c r="D288" s="23">
        <f>SUMIF(ENTRADAS[[#All],[CODIGO]],PRODUCTOS[[#This Row],[CODIGO]],ENTRADAS[[#All],[CANTIDAD]])</f>
        <v>0</v>
      </c>
      <c r="E288" s="20">
        <f>SUMIF(SALIDAS[[#All],[CODIGO]],PRODUCTOS[[#This Row],[CODIGO]],SALIDAS[[#All],[CANTIDAD ]])</f>
        <v>0</v>
      </c>
      <c r="F288" s="22">
        <v>255000</v>
      </c>
      <c r="G288" s="21">
        <v>0</v>
      </c>
    </row>
    <row r="289" spans="1:7" x14ac:dyDescent="0.25">
      <c r="A289" s="38">
        <v>288</v>
      </c>
      <c r="B289" s="24" t="s">
        <v>400</v>
      </c>
      <c r="C289" s="23">
        <v>2</v>
      </c>
      <c r="D289" s="23">
        <f>SUMIF(ENTRADAS[[#All],[CODIGO]],PRODUCTOS[[#This Row],[CODIGO]],ENTRADAS[[#All],[CANTIDAD]])</f>
        <v>0</v>
      </c>
      <c r="E289" s="20">
        <f>SUMIF(SALIDAS[[#All],[CODIGO]],PRODUCTOS[[#This Row],[CODIGO]],SALIDAS[[#All],[CANTIDAD ]])</f>
        <v>0</v>
      </c>
      <c r="F289" s="22">
        <v>115000</v>
      </c>
      <c r="G289" s="21">
        <v>0</v>
      </c>
    </row>
    <row r="290" spans="1:7" x14ac:dyDescent="0.25">
      <c r="A290" s="38">
        <v>289</v>
      </c>
      <c r="B290" s="24" t="s">
        <v>401</v>
      </c>
      <c r="C290" s="23">
        <v>2</v>
      </c>
      <c r="D290" s="23">
        <f>SUMIF(ENTRADAS[[#All],[CODIGO]],PRODUCTOS[[#This Row],[CODIGO]],ENTRADAS[[#All],[CANTIDAD]])</f>
        <v>0</v>
      </c>
      <c r="E290" s="20">
        <f>SUMIF(SALIDAS[[#All],[CODIGO]],PRODUCTOS[[#This Row],[CODIGO]],SALIDAS[[#All],[CANTIDAD ]])</f>
        <v>0</v>
      </c>
      <c r="F290" s="22">
        <v>160000</v>
      </c>
      <c r="G290" s="21">
        <v>0</v>
      </c>
    </row>
    <row r="291" spans="1:7" x14ac:dyDescent="0.25">
      <c r="A291" s="39">
        <v>290</v>
      </c>
      <c r="B291" s="24" t="s">
        <v>346</v>
      </c>
      <c r="C291" s="23">
        <v>4</v>
      </c>
      <c r="D291" s="23">
        <f>SUMIF(ENTRADAS[[#All],[CODIGO]],PRODUCTOS[[#This Row],[CODIGO]],ENTRADAS[[#All],[CANTIDAD]])</f>
        <v>0</v>
      </c>
      <c r="E291" s="20">
        <f>SUMIF(SALIDAS[[#All],[CODIGO]],PRODUCTOS[[#This Row],[CODIGO]],SALIDAS[[#All],[CANTIDAD ]])</f>
        <v>0</v>
      </c>
      <c r="F291" s="22">
        <v>60000</v>
      </c>
      <c r="G291" s="21">
        <v>0</v>
      </c>
    </row>
    <row r="292" spans="1:7" x14ac:dyDescent="0.25">
      <c r="A292" s="38">
        <v>291</v>
      </c>
      <c r="B292" s="24" t="s">
        <v>347</v>
      </c>
      <c r="C292" s="23">
        <v>2</v>
      </c>
      <c r="D292" s="23">
        <f>SUMIF(ENTRADAS[[#All],[CODIGO]],PRODUCTOS[[#This Row],[CODIGO]],ENTRADAS[[#All],[CANTIDAD]])</f>
        <v>0</v>
      </c>
      <c r="E292" s="20">
        <f>SUMIF(SALIDAS[[#All],[CODIGO]],PRODUCTOS[[#This Row],[CODIGO]],SALIDAS[[#All],[CANTIDAD ]])</f>
        <v>0</v>
      </c>
      <c r="F292" s="22">
        <v>60000</v>
      </c>
      <c r="G292" s="21">
        <v>0</v>
      </c>
    </row>
    <row r="293" spans="1:7" x14ac:dyDescent="0.25">
      <c r="A293" s="38">
        <v>292</v>
      </c>
      <c r="B293" s="24" t="s">
        <v>348</v>
      </c>
      <c r="C293" s="23">
        <v>2</v>
      </c>
      <c r="D293" s="23">
        <f>SUMIF(ENTRADAS[[#All],[CODIGO]],PRODUCTOS[[#This Row],[CODIGO]],ENTRADAS[[#All],[CANTIDAD]])</f>
        <v>0</v>
      </c>
      <c r="E293" s="20">
        <f>SUMIF(SALIDAS[[#All],[CODIGO]],PRODUCTOS[[#This Row],[CODIGO]],SALIDAS[[#All],[CANTIDAD ]])</f>
        <v>0</v>
      </c>
      <c r="F293" s="22">
        <v>65000</v>
      </c>
      <c r="G293" s="21">
        <v>0</v>
      </c>
    </row>
    <row r="294" spans="1:7" x14ac:dyDescent="0.25">
      <c r="A294" s="39">
        <v>293</v>
      </c>
      <c r="B294" s="24" t="s">
        <v>349</v>
      </c>
      <c r="C294" s="23">
        <v>1</v>
      </c>
      <c r="D294" s="23">
        <f>SUMIF(ENTRADAS[[#All],[CODIGO]],PRODUCTOS[[#This Row],[CODIGO]],ENTRADAS[[#All],[CANTIDAD]])</f>
        <v>0</v>
      </c>
      <c r="E294" s="20">
        <f>SUMIF(SALIDAS[[#All],[CODIGO]],PRODUCTOS[[#This Row],[CODIGO]],SALIDAS[[#All],[CANTIDAD ]])</f>
        <v>0</v>
      </c>
      <c r="F294" s="22">
        <v>35000</v>
      </c>
      <c r="G294" s="21">
        <v>0</v>
      </c>
    </row>
    <row r="295" spans="1:7" x14ac:dyDescent="0.25">
      <c r="A295" s="38">
        <v>294</v>
      </c>
      <c r="B295" s="24" t="s">
        <v>60</v>
      </c>
      <c r="C295" s="23">
        <v>2</v>
      </c>
      <c r="D295" s="23">
        <f>SUMIF(ENTRADAS[[#All],[CODIGO]],PRODUCTOS[[#This Row],[CODIGO]],ENTRADAS[[#All],[CANTIDAD]])</f>
        <v>0</v>
      </c>
      <c r="E295" s="20">
        <f>SUMIF(SALIDAS[[#All],[CODIGO]],PRODUCTOS[[#This Row],[CODIGO]],SALIDAS[[#All],[CANTIDAD ]])</f>
        <v>0</v>
      </c>
      <c r="F295" s="22">
        <v>75000</v>
      </c>
      <c r="G295" s="21">
        <v>0</v>
      </c>
    </row>
    <row r="296" spans="1:7" x14ac:dyDescent="0.25">
      <c r="A296" s="38">
        <v>295</v>
      </c>
      <c r="B296" s="24" t="s">
        <v>59</v>
      </c>
      <c r="C296" s="23">
        <v>1</v>
      </c>
      <c r="D296" s="23">
        <f>SUMIF(ENTRADAS[[#All],[CODIGO]],PRODUCTOS[[#This Row],[CODIGO]],ENTRADAS[[#All],[CANTIDAD]])</f>
        <v>0</v>
      </c>
      <c r="E296" s="20">
        <f>SUMIF(SALIDAS[[#All],[CODIGO]],PRODUCTOS[[#This Row],[CODIGO]],SALIDAS[[#All],[CANTIDAD ]])</f>
        <v>0</v>
      </c>
      <c r="F296" s="22">
        <v>60000</v>
      </c>
      <c r="G296" s="21">
        <v>0</v>
      </c>
    </row>
    <row r="297" spans="1:7" x14ac:dyDescent="0.25">
      <c r="A297" s="39">
        <v>296</v>
      </c>
      <c r="B297" s="24" t="s">
        <v>58</v>
      </c>
      <c r="C297" s="23">
        <v>3</v>
      </c>
      <c r="D297" s="23">
        <f>SUMIF(ENTRADAS[[#All],[CODIGO]],PRODUCTOS[[#This Row],[CODIGO]],ENTRADAS[[#All],[CANTIDAD]])</f>
        <v>0</v>
      </c>
      <c r="E297" s="20">
        <f>SUMIF(SALIDAS[[#All],[CODIGO]],PRODUCTOS[[#This Row],[CODIGO]],SALIDAS[[#All],[CANTIDAD ]])</f>
        <v>0</v>
      </c>
      <c r="F297" s="22">
        <v>60000</v>
      </c>
      <c r="G297" s="21">
        <v>0</v>
      </c>
    </row>
    <row r="298" spans="1:7" x14ac:dyDescent="0.25">
      <c r="A298" s="38">
        <v>297</v>
      </c>
      <c r="B298" s="24" t="s">
        <v>57</v>
      </c>
      <c r="C298" s="23">
        <v>38</v>
      </c>
      <c r="D298" s="23">
        <f>SUMIF(ENTRADAS[[#All],[CODIGO]],PRODUCTOS[[#This Row],[CODIGO]],ENTRADAS[[#All],[CANTIDAD]])</f>
        <v>0</v>
      </c>
      <c r="E298" s="20">
        <f>SUMIF(SALIDAS[[#All],[CODIGO]],PRODUCTOS[[#This Row],[CODIGO]],SALIDAS[[#All],[CANTIDAD ]])</f>
        <v>0</v>
      </c>
      <c r="F298" s="22">
        <v>20000</v>
      </c>
      <c r="G298" s="21">
        <v>0</v>
      </c>
    </row>
    <row r="299" spans="1:7" x14ac:dyDescent="0.25">
      <c r="A299" s="38">
        <v>298</v>
      </c>
      <c r="B299" s="24" t="s">
        <v>56</v>
      </c>
      <c r="C299" s="23">
        <v>1</v>
      </c>
      <c r="D299" s="23">
        <f>SUMIF(ENTRADAS[[#All],[CODIGO]],PRODUCTOS[[#This Row],[CODIGO]],ENTRADAS[[#All],[CANTIDAD]])</f>
        <v>0</v>
      </c>
      <c r="E299" s="20">
        <f>SUMIF(SALIDAS[[#All],[CODIGO]],PRODUCTOS[[#This Row],[CODIGO]],SALIDAS[[#All],[CANTIDAD ]])</f>
        <v>0</v>
      </c>
      <c r="F299" s="22">
        <v>100000</v>
      </c>
      <c r="G299" s="21">
        <v>0</v>
      </c>
    </row>
    <row r="300" spans="1:7" x14ac:dyDescent="0.25">
      <c r="A300" s="39">
        <v>299</v>
      </c>
      <c r="B300" s="24" t="s">
        <v>55</v>
      </c>
      <c r="C300" s="23">
        <v>1</v>
      </c>
      <c r="D300" s="23">
        <f>SUMIF(ENTRADAS[[#All],[CODIGO]],PRODUCTOS[[#This Row],[CODIGO]],ENTRADAS[[#All],[CANTIDAD]])</f>
        <v>0</v>
      </c>
      <c r="E300" s="20">
        <f>SUMIF(SALIDAS[[#All],[CODIGO]],PRODUCTOS[[#This Row],[CODIGO]],SALIDAS[[#All],[CANTIDAD ]])</f>
        <v>0</v>
      </c>
      <c r="F300" s="22">
        <v>20000</v>
      </c>
      <c r="G300" s="21">
        <v>0</v>
      </c>
    </row>
    <row r="301" spans="1:7" x14ac:dyDescent="0.25">
      <c r="A301" s="38">
        <v>300</v>
      </c>
      <c r="B301" s="24" t="s">
        <v>54</v>
      </c>
      <c r="C301" s="23">
        <v>1</v>
      </c>
      <c r="D301" s="23">
        <f>SUMIF(ENTRADAS[[#All],[CODIGO]],PRODUCTOS[[#This Row],[CODIGO]],ENTRADAS[[#All],[CANTIDAD]])</f>
        <v>0</v>
      </c>
      <c r="E301" s="20">
        <f>SUMIF(SALIDAS[[#All],[CODIGO]],PRODUCTOS[[#This Row],[CODIGO]],SALIDAS[[#All],[CANTIDAD ]])</f>
        <v>0</v>
      </c>
      <c r="F301" s="22">
        <v>23000</v>
      </c>
      <c r="G301" s="21">
        <v>0</v>
      </c>
    </row>
    <row r="302" spans="1:7" x14ac:dyDescent="0.25">
      <c r="A302" s="38">
        <v>301</v>
      </c>
      <c r="B302" s="24" t="s">
        <v>53</v>
      </c>
      <c r="C302" s="23">
        <v>11</v>
      </c>
      <c r="D302" s="23">
        <f>SUMIF(ENTRADAS[[#All],[CODIGO]],PRODUCTOS[[#This Row],[CODIGO]],ENTRADAS[[#All],[CANTIDAD]])</f>
        <v>0</v>
      </c>
      <c r="E302" s="20">
        <f>SUMIF(SALIDAS[[#All],[CODIGO]],PRODUCTOS[[#This Row],[CODIGO]],SALIDAS[[#All],[CANTIDAD ]])</f>
        <v>0</v>
      </c>
      <c r="F302" s="22">
        <v>25000</v>
      </c>
      <c r="G302" s="21">
        <v>0</v>
      </c>
    </row>
    <row r="303" spans="1:7" x14ac:dyDescent="0.25">
      <c r="A303" s="39">
        <v>302</v>
      </c>
      <c r="B303" s="24" t="s">
        <v>52</v>
      </c>
      <c r="C303" s="23">
        <v>1</v>
      </c>
      <c r="D303" s="23">
        <f>SUMIF(ENTRADAS[[#All],[CODIGO]],PRODUCTOS[[#This Row],[CODIGO]],ENTRADAS[[#All],[CANTIDAD]])</f>
        <v>0</v>
      </c>
      <c r="E303" s="20">
        <f>SUMIF(SALIDAS[[#All],[CODIGO]],PRODUCTOS[[#This Row],[CODIGO]],SALIDAS[[#All],[CANTIDAD ]])</f>
        <v>0</v>
      </c>
      <c r="F303" s="22">
        <v>150000</v>
      </c>
      <c r="G303" s="21">
        <v>0</v>
      </c>
    </row>
    <row r="304" spans="1:7" x14ac:dyDescent="0.25">
      <c r="A304" s="38">
        <v>303</v>
      </c>
      <c r="B304" s="24" t="s">
        <v>51</v>
      </c>
      <c r="C304" s="23">
        <v>1</v>
      </c>
      <c r="D304" s="23">
        <f>SUMIF(ENTRADAS[[#All],[CODIGO]],PRODUCTOS[[#This Row],[CODIGO]],ENTRADAS[[#All],[CANTIDAD]])</f>
        <v>0</v>
      </c>
      <c r="E304" s="20">
        <f>SUMIF(SALIDAS[[#All],[CODIGO]],PRODUCTOS[[#This Row],[CODIGO]],SALIDAS[[#All],[CANTIDAD ]])</f>
        <v>0</v>
      </c>
      <c r="F304" s="22">
        <v>170000</v>
      </c>
      <c r="G304" s="21">
        <v>0</v>
      </c>
    </row>
    <row r="305" spans="1:7" x14ac:dyDescent="0.25">
      <c r="A305" s="38">
        <v>304</v>
      </c>
      <c r="B305" s="24" t="s">
        <v>50</v>
      </c>
      <c r="C305" s="23">
        <v>1</v>
      </c>
      <c r="D305" s="23">
        <f>SUMIF(ENTRADAS[[#All],[CODIGO]],PRODUCTOS[[#This Row],[CODIGO]],ENTRADAS[[#All],[CANTIDAD]])</f>
        <v>0</v>
      </c>
      <c r="E305" s="20">
        <f>SUMIF(SALIDAS[[#All],[CODIGO]],PRODUCTOS[[#This Row],[CODIGO]],SALIDAS[[#All],[CANTIDAD ]])</f>
        <v>0</v>
      </c>
      <c r="F305" s="22">
        <v>180000</v>
      </c>
      <c r="G305" s="21">
        <v>0</v>
      </c>
    </row>
    <row r="306" spans="1:7" x14ac:dyDescent="0.25">
      <c r="A306" s="39">
        <v>305</v>
      </c>
      <c r="B306" s="24" t="s">
        <v>49</v>
      </c>
      <c r="C306" s="23">
        <v>1</v>
      </c>
      <c r="D306" s="23">
        <f>SUMIF(ENTRADAS[[#All],[CODIGO]],PRODUCTOS[[#This Row],[CODIGO]],ENTRADAS[[#All],[CANTIDAD]])</f>
        <v>0</v>
      </c>
      <c r="E306" s="20">
        <f>SUMIF(SALIDAS[[#All],[CODIGO]],PRODUCTOS[[#This Row],[CODIGO]],SALIDAS[[#All],[CANTIDAD ]])</f>
        <v>0</v>
      </c>
      <c r="F306" s="22">
        <v>300000</v>
      </c>
      <c r="G306" s="21">
        <v>0</v>
      </c>
    </row>
    <row r="307" spans="1:7" x14ac:dyDescent="0.25">
      <c r="A307" s="38">
        <v>306</v>
      </c>
      <c r="B307" s="24" t="s">
        <v>48</v>
      </c>
      <c r="C307" s="23">
        <v>22</v>
      </c>
      <c r="D307" s="23">
        <f>SUMIF(ENTRADAS[[#All],[CODIGO]],PRODUCTOS[[#This Row],[CODIGO]],ENTRADAS[[#All],[CANTIDAD]])</f>
        <v>0</v>
      </c>
      <c r="E307" s="20">
        <f>SUMIF(SALIDAS[[#All],[CODIGO]],PRODUCTOS[[#This Row],[CODIGO]],SALIDAS[[#All],[CANTIDAD ]])</f>
        <v>0</v>
      </c>
      <c r="F307" s="22">
        <v>32000</v>
      </c>
      <c r="G307" s="21">
        <v>0</v>
      </c>
    </row>
    <row r="308" spans="1:7" x14ac:dyDescent="0.25">
      <c r="A308" s="38">
        <v>307</v>
      </c>
      <c r="B308" s="24" t="s">
        <v>47</v>
      </c>
      <c r="C308" s="23">
        <v>7</v>
      </c>
      <c r="D308" s="23">
        <f>SUMIF(ENTRADAS[[#All],[CODIGO]],PRODUCTOS[[#This Row],[CODIGO]],ENTRADAS[[#All],[CANTIDAD]])</f>
        <v>0</v>
      </c>
      <c r="E308" s="20">
        <f>SUMIF(SALIDAS[[#All],[CODIGO]],PRODUCTOS[[#This Row],[CODIGO]],SALIDAS[[#All],[CANTIDAD ]])</f>
        <v>0</v>
      </c>
      <c r="F308" s="22">
        <v>43000</v>
      </c>
      <c r="G308" s="21">
        <v>0</v>
      </c>
    </row>
    <row r="309" spans="1:7" x14ac:dyDescent="0.25">
      <c r="A309" s="39">
        <v>308</v>
      </c>
      <c r="B309" s="24" t="s">
        <v>46</v>
      </c>
      <c r="C309" s="23">
        <v>1</v>
      </c>
      <c r="D309" s="23">
        <f>SUMIF(ENTRADAS[[#All],[CODIGO]],PRODUCTOS[[#This Row],[CODIGO]],ENTRADAS[[#All],[CANTIDAD]])</f>
        <v>0</v>
      </c>
      <c r="E309" s="20">
        <f>SUMIF(SALIDAS[[#All],[CODIGO]],PRODUCTOS[[#This Row],[CODIGO]],SALIDAS[[#All],[CANTIDAD ]])</f>
        <v>0</v>
      </c>
      <c r="F309" s="22">
        <v>150000</v>
      </c>
      <c r="G309" s="21">
        <v>0</v>
      </c>
    </row>
    <row r="310" spans="1:7" x14ac:dyDescent="0.25">
      <c r="A310" s="38">
        <v>309</v>
      </c>
      <c r="B310" s="24" t="s">
        <v>45</v>
      </c>
      <c r="C310" s="23">
        <v>1</v>
      </c>
      <c r="D310" s="23">
        <f>SUMIF(ENTRADAS[[#All],[CODIGO]],PRODUCTOS[[#This Row],[CODIGO]],ENTRADAS[[#All],[CANTIDAD]])</f>
        <v>0</v>
      </c>
      <c r="E310" s="20">
        <f>SUMIF(SALIDAS[[#All],[CODIGO]],PRODUCTOS[[#This Row],[CODIGO]],SALIDAS[[#All],[CANTIDAD ]])</f>
        <v>0</v>
      </c>
      <c r="F310" s="22">
        <v>140000</v>
      </c>
      <c r="G310" s="21">
        <v>0</v>
      </c>
    </row>
    <row r="311" spans="1:7" x14ac:dyDescent="0.25">
      <c r="A311" s="38">
        <v>310</v>
      </c>
      <c r="B311" s="24" t="s">
        <v>44</v>
      </c>
      <c r="C311" s="23">
        <v>4</v>
      </c>
      <c r="D311" s="23">
        <f>SUMIF(ENTRADAS[[#All],[CODIGO]],PRODUCTOS[[#This Row],[CODIGO]],ENTRADAS[[#All],[CANTIDAD]])</f>
        <v>0</v>
      </c>
      <c r="E311" s="20">
        <f>SUMIF(SALIDAS[[#All],[CODIGO]],PRODUCTOS[[#This Row],[CODIGO]],SALIDAS[[#All],[CANTIDAD ]])</f>
        <v>0</v>
      </c>
      <c r="F311" s="22">
        <v>48000</v>
      </c>
      <c r="G311" s="21">
        <v>0</v>
      </c>
    </row>
    <row r="312" spans="1:7" x14ac:dyDescent="0.25">
      <c r="A312" s="39">
        <v>311</v>
      </c>
      <c r="B312" s="24" t="s">
        <v>43</v>
      </c>
      <c r="C312" s="23">
        <v>1</v>
      </c>
      <c r="D312" s="23">
        <f>SUMIF(ENTRADAS[[#All],[CODIGO]],PRODUCTOS[[#This Row],[CODIGO]],ENTRADAS[[#All],[CANTIDAD]])</f>
        <v>0</v>
      </c>
      <c r="E312" s="20">
        <f>SUMIF(SALIDAS[[#All],[CODIGO]],PRODUCTOS[[#This Row],[CODIGO]],SALIDAS[[#All],[CANTIDAD ]])</f>
        <v>0</v>
      </c>
      <c r="F312" s="22">
        <v>0</v>
      </c>
      <c r="G312" s="21">
        <v>0</v>
      </c>
    </row>
    <row r="313" spans="1:7" x14ac:dyDescent="0.25">
      <c r="A313" s="38">
        <v>312</v>
      </c>
      <c r="B313" s="24" t="s">
        <v>42</v>
      </c>
      <c r="C313" s="23">
        <v>1</v>
      </c>
      <c r="D313" s="23">
        <f>SUMIF(ENTRADAS[[#All],[CODIGO]],PRODUCTOS[[#This Row],[CODIGO]],ENTRADAS[[#All],[CANTIDAD]])</f>
        <v>0</v>
      </c>
      <c r="E313" s="20">
        <f>SUMIF(SALIDAS[[#All],[CODIGO]],PRODUCTOS[[#This Row],[CODIGO]],SALIDAS[[#All],[CANTIDAD ]])</f>
        <v>0</v>
      </c>
      <c r="F313" s="22">
        <v>170000</v>
      </c>
      <c r="G313" s="21">
        <v>0</v>
      </c>
    </row>
    <row r="314" spans="1:7" x14ac:dyDescent="0.25">
      <c r="A314" s="38">
        <v>313</v>
      </c>
      <c r="B314" s="24" t="s">
        <v>41</v>
      </c>
      <c r="C314" s="23">
        <v>1</v>
      </c>
      <c r="D314" s="23">
        <f>SUMIF(ENTRADAS[[#All],[CODIGO]],PRODUCTOS[[#This Row],[CODIGO]],ENTRADAS[[#All],[CANTIDAD]])</f>
        <v>0</v>
      </c>
      <c r="E314" s="20">
        <f>SUMIF(SALIDAS[[#All],[CODIGO]],PRODUCTOS[[#This Row],[CODIGO]],SALIDAS[[#All],[CANTIDAD ]])</f>
        <v>0</v>
      </c>
      <c r="F314" s="22">
        <v>40000</v>
      </c>
      <c r="G314" s="21">
        <v>0</v>
      </c>
    </row>
    <row r="315" spans="1:7" x14ac:dyDescent="0.25">
      <c r="A315" s="39">
        <v>314</v>
      </c>
      <c r="B315" s="24" t="s">
        <v>40</v>
      </c>
      <c r="C315" s="23">
        <v>8</v>
      </c>
      <c r="D315" s="23">
        <f>SUMIF(ENTRADAS[[#All],[CODIGO]],PRODUCTOS[[#This Row],[CODIGO]],ENTRADAS[[#All],[CANTIDAD]])</f>
        <v>0</v>
      </c>
      <c r="E315" s="20">
        <f>SUMIF(SALIDAS[[#All],[CODIGO]],PRODUCTOS[[#This Row],[CODIGO]],SALIDAS[[#All],[CANTIDAD ]])</f>
        <v>0</v>
      </c>
      <c r="F315" s="22">
        <v>49000</v>
      </c>
      <c r="G315" s="21">
        <v>0</v>
      </c>
    </row>
    <row r="316" spans="1:7" x14ac:dyDescent="0.25">
      <c r="A316" s="38">
        <v>315</v>
      </c>
      <c r="B316" s="24" t="s">
        <v>39</v>
      </c>
      <c r="C316" s="23">
        <v>1</v>
      </c>
      <c r="D316" s="23">
        <f>SUMIF(ENTRADAS[[#All],[CODIGO]],PRODUCTOS[[#This Row],[CODIGO]],ENTRADAS[[#All],[CANTIDAD]])</f>
        <v>0</v>
      </c>
      <c r="E316" s="20">
        <f>SUMIF(SALIDAS[[#All],[CODIGO]],PRODUCTOS[[#This Row],[CODIGO]],SALIDAS[[#All],[CANTIDAD ]])</f>
        <v>0</v>
      </c>
      <c r="F316" s="22">
        <v>38000</v>
      </c>
      <c r="G316" s="21">
        <v>0</v>
      </c>
    </row>
    <row r="317" spans="1:7" x14ac:dyDescent="0.25">
      <c r="A317" s="38">
        <v>316</v>
      </c>
      <c r="B317" s="24" t="s">
        <v>38</v>
      </c>
      <c r="C317" s="23">
        <v>4</v>
      </c>
      <c r="D317" s="23">
        <f>SUMIF(ENTRADAS[[#All],[CODIGO]],PRODUCTOS[[#This Row],[CODIGO]],ENTRADAS[[#All],[CANTIDAD]])</f>
        <v>0</v>
      </c>
      <c r="E317" s="20">
        <f>SUMIF(SALIDAS[[#All],[CODIGO]],PRODUCTOS[[#This Row],[CODIGO]],SALIDAS[[#All],[CANTIDAD ]])</f>
        <v>0</v>
      </c>
      <c r="F317" s="22">
        <v>60000</v>
      </c>
      <c r="G317" s="21">
        <v>0</v>
      </c>
    </row>
    <row r="318" spans="1:7" x14ac:dyDescent="0.25">
      <c r="A318" s="39">
        <v>317</v>
      </c>
      <c r="B318" s="24" t="s">
        <v>37</v>
      </c>
      <c r="C318" s="23">
        <v>5</v>
      </c>
      <c r="D318" s="23">
        <f>SUMIF(ENTRADAS[[#All],[CODIGO]],PRODUCTOS[[#This Row],[CODIGO]],ENTRADAS[[#All],[CANTIDAD]])</f>
        <v>0</v>
      </c>
      <c r="E318" s="20">
        <f>SUMIF(SALIDAS[[#All],[CODIGO]],PRODUCTOS[[#This Row],[CODIGO]],SALIDAS[[#All],[CANTIDAD ]])</f>
        <v>0</v>
      </c>
      <c r="F318" s="22">
        <v>27000</v>
      </c>
      <c r="G318" s="21">
        <v>0</v>
      </c>
    </row>
    <row r="319" spans="1:7" x14ac:dyDescent="0.25">
      <c r="A319" s="38">
        <v>318</v>
      </c>
      <c r="B319" s="24" t="s">
        <v>36</v>
      </c>
      <c r="C319" s="23">
        <v>3</v>
      </c>
      <c r="D319" s="23">
        <f>SUMIF(ENTRADAS[[#All],[CODIGO]],PRODUCTOS[[#This Row],[CODIGO]],ENTRADAS[[#All],[CANTIDAD]])</f>
        <v>0</v>
      </c>
      <c r="E319" s="20">
        <f>SUMIF(SALIDAS[[#All],[CODIGO]],PRODUCTOS[[#This Row],[CODIGO]],SALIDAS[[#All],[CANTIDAD ]])</f>
        <v>0</v>
      </c>
      <c r="F319" s="22">
        <v>24000</v>
      </c>
      <c r="G319" s="21">
        <v>0</v>
      </c>
    </row>
    <row r="320" spans="1:7" x14ac:dyDescent="0.25">
      <c r="A320" s="38">
        <v>319</v>
      </c>
      <c r="B320" s="24" t="s">
        <v>35</v>
      </c>
      <c r="C320" s="23">
        <v>11</v>
      </c>
      <c r="D320" s="23">
        <f>SUMIF(ENTRADAS[[#All],[CODIGO]],PRODUCTOS[[#This Row],[CODIGO]],ENTRADAS[[#All],[CANTIDAD]])</f>
        <v>0</v>
      </c>
      <c r="E320" s="20">
        <f>SUMIF(SALIDAS[[#All],[CODIGO]],PRODUCTOS[[#This Row],[CODIGO]],SALIDAS[[#All],[CANTIDAD ]])</f>
        <v>0</v>
      </c>
      <c r="F320" s="22">
        <v>26000</v>
      </c>
      <c r="G320" s="21">
        <v>0</v>
      </c>
    </row>
    <row r="321" spans="1:7" x14ac:dyDescent="0.25">
      <c r="A321" s="39">
        <v>320</v>
      </c>
      <c r="B321" s="24" t="s">
        <v>34</v>
      </c>
      <c r="C321" s="23">
        <v>2</v>
      </c>
      <c r="D321" s="23">
        <f>SUMIF(ENTRADAS[[#All],[CODIGO]],PRODUCTOS[[#This Row],[CODIGO]],ENTRADAS[[#All],[CANTIDAD]])</f>
        <v>0</v>
      </c>
      <c r="E321" s="20">
        <f>SUMIF(SALIDAS[[#All],[CODIGO]],PRODUCTOS[[#This Row],[CODIGO]],SALIDAS[[#All],[CANTIDAD ]])</f>
        <v>0</v>
      </c>
      <c r="F321" s="22">
        <v>16000</v>
      </c>
      <c r="G321" s="21">
        <v>0</v>
      </c>
    </row>
    <row r="322" spans="1:7" x14ac:dyDescent="0.25">
      <c r="A322" s="38">
        <v>321</v>
      </c>
      <c r="B322" s="24" t="s">
        <v>33</v>
      </c>
      <c r="C322" s="23">
        <v>7</v>
      </c>
      <c r="D322" s="23">
        <f>SUMIF(ENTRADAS[[#All],[CODIGO]],PRODUCTOS[[#This Row],[CODIGO]],ENTRADAS[[#All],[CANTIDAD]])</f>
        <v>0</v>
      </c>
      <c r="E322" s="20">
        <f>SUMIF(SALIDAS[[#All],[CODIGO]],PRODUCTOS[[#This Row],[CODIGO]],SALIDAS[[#All],[CANTIDAD ]])</f>
        <v>0</v>
      </c>
      <c r="F322" s="22">
        <v>20000</v>
      </c>
      <c r="G322" s="21">
        <v>0</v>
      </c>
    </row>
    <row r="323" spans="1:7" x14ac:dyDescent="0.25">
      <c r="A323" s="38">
        <v>322</v>
      </c>
      <c r="B323" s="24" t="s">
        <v>32</v>
      </c>
      <c r="C323" s="23">
        <v>4</v>
      </c>
      <c r="D323" s="23">
        <f>SUMIF(ENTRADAS[[#All],[CODIGO]],PRODUCTOS[[#This Row],[CODIGO]],ENTRADAS[[#All],[CANTIDAD]])</f>
        <v>0</v>
      </c>
      <c r="E323" s="20">
        <f>SUMIF(SALIDAS[[#All],[CODIGO]],PRODUCTOS[[#This Row],[CODIGO]],SALIDAS[[#All],[CANTIDAD ]])</f>
        <v>0</v>
      </c>
      <c r="F323" s="22">
        <v>25000</v>
      </c>
      <c r="G323" s="21">
        <v>0</v>
      </c>
    </row>
    <row r="324" spans="1:7" x14ac:dyDescent="0.25">
      <c r="A324" s="39">
        <v>323</v>
      </c>
      <c r="B324" s="24" t="s">
        <v>350</v>
      </c>
      <c r="C324" s="23">
        <v>5</v>
      </c>
      <c r="D324" s="23">
        <f>SUMIF(ENTRADAS[[#All],[CODIGO]],PRODUCTOS[[#This Row],[CODIGO]],ENTRADAS[[#All],[CANTIDAD]])</f>
        <v>0</v>
      </c>
      <c r="E324" s="20">
        <f>SUMIF(SALIDAS[[#All],[CODIGO]],PRODUCTOS[[#This Row],[CODIGO]],SALIDAS[[#All],[CANTIDAD ]])</f>
        <v>0</v>
      </c>
      <c r="F324" s="22">
        <v>20000</v>
      </c>
      <c r="G324" s="21">
        <v>0</v>
      </c>
    </row>
    <row r="325" spans="1:7" x14ac:dyDescent="0.25">
      <c r="A325" s="38">
        <v>324</v>
      </c>
      <c r="B325" s="24" t="s">
        <v>351</v>
      </c>
      <c r="C325" s="23">
        <v>9</v>
      </c>
      <c r="D325" s="23">
        <f>SUMIF(ENTRADAS[[#All],[CODIGO]],PRODUCTOS[[#This Row],[CODIGO]],ENTRADAS[[#All],[CANTIDAD]])</f>
        <v>0</v>
      </c>
      <c r="E325" s="20">
        <f>SUMIF(SALIDAS[[#All],[CODIGO]],PRODUCTOS[[#This Row],[CODIGO]],SALIDAS[[#All],[CANTIDAD ]])</f>
        <v>0</v>
      </c>
      <c r="F325" s="22">
        <v>90000</v>
      </c>
      <c r="G325" s="21">
        <v>0</v>
      </c>
    </row>
    <row r="326" spans="1:7" x14ac:dyDescent="0.25">
      <c r="A326" s="38">
        <v>325</v>
      </c>
      <c r="B326" s="24" t="s">
        <v>352</v>
      </c>
      <c r="C326" s="23">
        <v>3</v>
      </c>
      <c r="D326" s="23">
        <f>SUMIF(ENTRADAS[[#All],[CODIGO]],PRODUCTOS[[#This Row],[CODIGO]],ENTRADAS[[#All],[CANTIDAD]])</f>
        <v>0</v>
      </c>
      <c r="E326" s="20">
        <f>SUMIF(SALIDAS[[#All],[CODIGO]],PRODUCTOS[[#This Row],[CODIGO]],SALIDAS[[#All],[CANTIDAD ]])</f>
        <v>0</v>
      </c>
      <c r="F326" s="22">
        <v>65000</v>
      </c>
      <c r="G326" s="21">
        <v>0</v>
      </c>
    </row>
    <row r="327" spans="1:7" x14ac:dyDescent="0.25">
      <c r="A327" s="39">
        <v>326</v>
      </c>
      <c r="B327" s="24" t="s">
        <v>353</v>
      </c>
      <c r="C327" s="23">
        <v>8</v>
      </c>
      <c r="D327" s="23">
        <f>SUMIF(ENTRADAS[[#All],[CODIGO]],PRODUCTOS[[#This Row],[CODIGO]],ENTRADAS[[#All],[CANTIDAD]])</f>
        <v>0</v>
      </c>
      <c r="E327" s="20">
        <f>SUMIF(SALIDAS[[#All],[CODIGO]],PRODUCTOS[[#This Row],[CODIGO]],SALIDAS[[#All],[CANTIDAD ]])</f>
        <v>0</v>
      </c>
      <c r="F327" s="22">
        <v>50000</v>
      </c>
      <c r="G327" s="21">
        <v>0</v>
      </c>
    </row>
    <row r="328" spans="1:7" x14ac:dyDescent="0.25">
      <c r="A328" s="38">
        <v>327</v>
      </c>
      <c r="B328" s="24" t="s">
        <v>354</v>
      </c>
      <c r="C328" s="23">
        <v>1</v>
      </c>
      <c r="D328" s="23">
        <f>SUMIF(ENTRADAS[[#All],[CODIGO]],PRODUCTOS[[#This Row],[CODIGO]],ENTRADAS[[#All],[CANTIDAD]])</f>
        <v>0</v>
      </c>
      <c r="E328" s="20">
        <f>SUMIF(SALIDAS[[#All],[CODIGO]],PRODUCTOS[[#This Row],[CODIGO]],SALIDAS[[#All],[CANTIDAD ]])</f>
        <v>0</v>
      </c>
      <c r="F328" s="22">
        <v>55000</v>
      </c>
      <c r="G328" s="21">
        <v>0</v>
      </c>
    </row>
    <row r="329" spans="1:7" x14ac:dyDescent="0.25">
      <c r="A329" s="38">
        <v>328</v>
      </c>
      <c r="B329" s="24" t="s">
        <v>355</v>
      </c>
      <c r="C329" s="23">
        <v>1</v>
      </c>
      <c r="D329" s="23">
        <f>SUMIF(ENTRADAS[[#All],[CODIGO]],PRODUCTOS[[#This Row],[CODIGO]],ENTRADAS[[#All],[CANTIDAD]])</f>
        <v>0</v>
      </c>
      <c r="E329" s="20">
        <f>SUMIF(SALIDAS[[#All],[CODIGO]],PRODUCTOS[[#This Row],[CODIGO]],SALIDAS[[#All],[CANTIDAD ]])</f>
        <v>0</v>
      </c>
      <c r="F329" s="22">
        <v>95000</v>
      </c>
      <c r="G329" s="21">
        <v>0</v>
      </c>
    </row>
    <row r="330" spans="1:7" x14ac:dyDescent="0.25">
      <c r="A330" s="39">
        <v>329</v>
      </c>
      <c r="B330" s="24" t="s">
        <v>356</v>
      </c>
      <c r="C330" s="23">
        <v>3</v>
      </c>
      <c r="D330" s="23">
        <f>SUMIF(ENTRADAS[[#All],[CODIGO]],PRODUCTOS[[#This Row],[CODIGO]],ENTRADAS[[#All],[CANTIDAD]])</f>
        <v>0</v>
      </c>
      <c r="E330" s="20">
        <f>SUMIF(SALIDAS[[#All],[CODIGO]],PRODUCTOS[[#This Row],[CODIGO]],SALIDAS[[#All],[CANTIDAD ]])</f>
        <v>0</v>
      </c>
      <c r="F330" s="22">
        <v>140000</v>
      </c>
      <c r="G330" s="21">
        <v>0</v>
      </c>
    </row>
    <row r="331" spans="1:7" x14ac:dyDescent="0.25">
      <c r="A331" s="38">
        <v>330</v>
      </c>
      <c r="B331" s="24" t="s">
        <v>357</v>
      </c>
      <c r="C331" s="23">
        <v>5</v>
      </c>
      <c r="D331" s="23">
        <f>SUMIF(ENTRADAS[[#All],[CODIGO]],PRODUCTOS[[#This Row],[CODIGO]],ENTRADAS[[#All],[CANTIDAD]])</f>
        <v>0</v>
      </c>
      <c r="E331" s="20">
        <f>SUMIF(SALIDAS[[#All],[CODIGO]],PRODUCTOS[[#This Row],[CODIGO]],SALIDAS[[#All],[CANTIDAD ]])</f>
        <v>0</v>
      </c>
      <c r="F331" s="22">
        <v>85000</v>
      </c>
      <c r="G331" s="21">
        <v>0</v>
      </c>
    </row>
    <row r="332" spans="1:7" x14ac:dyDescent="0.25">
      <c r="A332" s="38">
        <v>331</v>
      </c>
      <c r="B332" s="24" t="s">
        <v>358</v>
      </c>
      <c r="C332" s="23">
        <v>2</v>
      </c>
      <c r="D332" s="23">
        <f>SUMIF(ENTRADAS[[#All],[CODIGO]],PRODUCTOS[[#This Row],[CODIGO]],ENTRADAS[[#All],[CANTIDAD]])</f>
        <v>0</v>
      </c>
      <c r="E332" s="20">
        <f>SUMIF(SALIDAS[[#All],[CODIGO]],PRODUCTOS[[#This Row],[CODIGO]],SALIDAS[[#All],[CANTIDAD ]])</f>
        <v>0</v>
      </c>
      <c r="F332" s="22">
        <v>135000</v>
      </c>
      <c r="G332" s="21">
        <v>0</v>
      </c>
    </row>
    <row r="333" spans="1:7" x14ac:dyDescent="0.25">
      <c r="A333" s="39">
        <v>332</v>
      </c>
      <c r="B333" s="24" t="s">
        <v>359</v>
      </c>
      <c r="C333" s="23">
        <v>1</v>
      </c>
      <c r="D333" s="23">
        <f>SUMIF(ENTRADAS[[#All],[CODIGO]],PRODUCTOS[[#This Row],[CODIGO]],ENTRADAS[[#All],[CANTIDAD]])</f>
        <v>0</v>
      </c>
      <c r="E333" s="20">
        <f>SUMIF(SALIDAS[[#All],[CODIGO]],PRODUCTOS[[#This Row],[CODIGO]],SALIDAS[[#All],[CANTIDAD ]])</f>
        <v>0</v>
      </c>
      <c r="F333" s="22">
        <v>145000</v>
      </c>
      <c r="G333" s="21">
        <v>0</v>
      </c>
    </row>
    <row r="334" spans="1:7" x14ac:dyDescent="0.25">
      <c r="A334" s="38">
        <v>333</v>
      </c>
      <c r="B334" s="24" t="s">
        <v>360</v>
      </c>
      <c r="C334" s="23">
        <v>1</v>
      </c>
      <c r="D334" s="23">
        <f>SUMIF(ENTRADAS[[#All],[CODIGO]],PRODUCTOS[[#This Row],[CODIGO]],ENTRADAS[[#All],[CANTIDAD]])</f>
        <v>0</v>
      </c>
      <c r="E334" s="20">
        <f>SUMIF(SALIDAS[[#All],[CODIGO]],PRODUCTOS[[#This Row],[CODIGO]],SALIDAS[[#All],[CANTIDAD ]])</f>
        <v>0</v>
      </c>
      <c r="F334" s="22">
        <v>80000</v>
      </c>
      <c r="G334" s="21">
        <v>0</v>
      </c>
    </row>
    <row r="335" spans="1:7" x14ac:dyDescent="0.25">
      <c r="A335" s="38">
        <v>334</v>
      </c>
      <c r="B335" s="24" t="s">
        <v>361</v>
      </c>
      <c r="C335" s="23">
        <v>2</v>
      </c>
      <c r="D335" s="23">
        <f>SUMIF(ENTRADAS[[#All],[CODIGO]],PRODUCTOS[[#This Row],[CODIGO]],ENTRADAS[[#All],[CANTIDAD]])</f>
        <v>0</v>
      </c>
      <c r="E335" s="20">
        <f>SUMIF(SALIDAS[[#All],[CODIGO]],PRODUCTOS[[#This Row],[CODIGO]],SALIDAS[[#All],[CANTIDAD ]])</f>
        <v>0</v>
      </c>
      <c r="F335" s="22">
        <v>170000</v>
      </c>
      <c r="G335" s="21">
        <v>0</v>
      </c>
    </row>
    <row r="336" spans="1:7" x14ac:dyDescent="0.25">
      <c r="A336" s="39">
        <v>335</v>
      </c>
      <c r="B336" s="24" t="s">
        <v>362</v>
      </c>
      <c r="C336" s="23">
        <v>18</v>
      </c>
      <c r="D336" s="23">
        <f>SUMIF(ENTRADAS[[#All],[CODIGO]],PRODUCTOS[[#This Row],[CODIGO]],ENTRADAS[[#All],[CANTIDAD]])</f>
        <v>0</v>
      </c>
      <c r="E336" s="20">
        <f>SUMIF(SALIDAS[[#All],[CODIGO]],PRODUCTOS[[#This Row],[CODIGO]],SALIDAS[[#All],[CANTIDAD ]])</f>
        <v>0</v>
      </c>
      <c r="F336" s="22">
        <v>27000</v>
      </c>
      <c r="G336" s="21">
        <v>0</v>
      </c>
    </row>
    <row r="337" spans="1:7" x14ac:dyDescent="0.25">
      <c r="A337" s="38">
        <v>336</v>
      </c>
      <c r="B337" s="24" t="s">
        <v>363</v>
      </c>
      <c r="C337" s="23">
        <v>0</v>
      </c>
      <c r="D337" s="23">
        <f>SUMIF(ENTRADAS[[#All],[CODIGO]],PRODUCTOS[[#This Row],[CODIGO]],ENTRADAS[[#All],[CANTIDAD]])</f>
        <v>0</v>
      </c>
      <c r="E337" s="20">
        <f>SUMIF(SALIDAS[[#All],[CODIGO]],PRODUCTOS[[#This Row],[CODIGO]],SALIDAS[[#All],[CANTIDAD ]])</f>
        <v>0</v>
      </c>
      <c r="F337" s="22">
        <v>80000</v>
      </c>
      <c r="G337" s="21">
        <v>0</v>
      </c>
    </row>
    <row r="338" spans="1:7" x14ac:dyDescent="0.25">
      <c r="A338" s="38">
        <v>337</v>
      </c>
      <c r="B338" s="24" t="s">
        <v>364</v>
      </c>
      <c r="C338" s="23">
        <v>5</v>
      </c>
      <c r="D338" s="23">
        <f>SUMIF(ENTRADAS[[#All],[CODIGO]],PRODUCTOS[[#This Row],[CODIGO]],ENTRADAS[[#All],[CANTIDAD]])</f>
        <v>0</v>
      </c>
      <c r="E338" s="20">
        <f>SUMIF(SALIDAS[[#All],[CODIGO]],PRODUCTOS[[#This Row],[CODIGO]],SALIDAS[[#All],[CANTIDAD ]])</f>
        <v>0</v>
      </c>
      <c r="F338" s="22">
        <v>67000</v>
      </c>
      <c r="G338" s="21">
        <v>0</v>
      </c>
    </row>
    <row r="339" spans="1:7" x14ac:dyDescent="0.25">
      <c r="A339" s="39">
        <v>338</v>
      </c>
      <c r="B339" s="24" t="s">
        <v>365</v>
      </c>
      <c r="C339" s="23">
        <v>1</v>
      </c>
      <c r="D339" s="23">
        <f>SUMIF(ENTRADAS[[#All],[CODIGO]],PRODUCTOS[[#This Row],[CODIGO]],ENTRADAS[[#All],[CANTIDAD]])</f>
        <v>0</v>
      </c>
      <c r="E339" s="20">
        <f>SUMIF(SALIDAS[[#All],[CODIGO]],PRODUCTOS[[#This Row],[CODIGO]],SALIDAS[[#All],[CANTIDAD ]])</f>
        <v>0</v>
      </c>
      <c r="F339" s="22">
        <v>75000</v>
      </c>
      <c r="G339" s="21">
        <v>0</v>
      </c>
    </row>
    <row r="340" spans="1:7" x14ac:dyDescent="0.25">
      <c r="A340" s="38">
        <v>339</v>
      </c>
      <c r="B340" s="24" t="s">
        <v>366</v>
      </c>
      <c r="C340" s="23">
        <v>12</v>
      </c>
      <c r="D340" s="23">
        <f>SUMIF(ENTRADAS[[#All],[CODIGO]],PRODUCTOS[[#This Row],[CODIGO]],ENTRADAS[[#All],[CANTIDAD]])</f>
        <v>0</v>
      </c>
      <c r="E340" s="20">
        <f>SUMIF(SALIDAS[[#All],[CODIGO]],PRODUCTOS[[#This Row],[CODIGO]],SALIDAS[[#All],[CANTIDAD ]])</f>
        <v>0</v>
      </c>
      <c r="F340" s="22">
        <v>2500</v>
      </c>
      <c r="G340" s="21">
        <v>0</v>
      </c>
    </row>
    <row r="341" spans="1:7" x14ac:dyDescent="0.25">
      <c r="A341" s="38">
        <v>340</v>
      </c>
      <c r="B341" s="24" t="s">
        <v>367</v>
      </c>
      <c r="C341" s="23">
        <v>2</v>
      </c>
      <c r="D341" s="23">
        <f>SUMIF(ENTRADAS[[#All],[CODIGO]],PRODUCTOS[[#This Row],[CODIGO]],ENTRADAS[[#All],[CANTIDAD]])</f>
        <v>0</v>
      </c>
      <c r="E341" s="20">
        <f>SUMIF(SALIDAS[[#All],[CODIGO]],PRODUCTOS[[#This Row],[CODIGO]],SALIDAS[[#All],[CANTIDAD ]])</f>
        <v>0</v>
      </c>
      <c r="F341" s="22">
        <v>35000</v>
      </c>
      <c r="G341" s="21">
        <v>0</v>
      </c>
    </row>
    <row r="342" spans="1:7" x14ac:dyDescent="0.25">
      <c r="A342" s="39">
        <v>341</v>
      </c>
      <c r="B342" s="24" t="s">
        <v>369</v>
      </c>
      <c r="C342" s="23">
        <v>3</v>
      </c>
      <c r="D342" s="23">
        <f>SUMIF(ENTRADAS[[#All],[CODIGO]],PRODUCTOS[[#This Row],[CODIGO]],ENTRADAS[[#All],[CANTIDAD]])</f>
        <v>0</v>
      </c>
      <c r="E342" s="20">
        <f>SUMIF(SALIDAS[[#All],[CODIGO]],PRODUCTOS[[#This Row],[CODIGO]],SALIDAS[[#All],[CANTIDAD ]])</f>
        <v>0</v>
      </c>
      <c r="F342" s="22">
        <v>16000</v>
      </c>
      <c r="G342" s="21">
        <v>0</v>
      </c>
    </row>
    <row r="343" spans="1:7" x14ac:dyDescent="0.25">
      <c r="A343" s="38">
        <v>342</v>
      </c>
      <c r="B343" s="24" t="s">
        <v>370</v>
      </c>
      <c r="C343" s="23">
        <v>1</v>
      </c>
      <c r="D343" s="23">
        <f>SUMIF(ENTRADAS[[#All],[CODIGO]],PRODUCTOS[[#This Row],[CODIGO]],ENTRADAS[[#All],[CANTIDAD]])</f>
        <v>0</v>
      </c>
      <c r="E343" s="20">
        <f>SUMIF(SALIDAS[[#All],[CODIGO]],PRODUCTOS[[#This Row],[CODIGO]],SALIDAS[[#All],[CANTIDAD ]])</f>
        <v>0</v>
      </c>
      <c r="F343" s="22">
        <v>150000</v>
      </c>
      <c r="G343" s="21">
        <v>0</v>
      </c>
    </row>
    <row r="344" spans="1:7" x14ac:dyDescent="0.25">
      <c r="A344" s="38">
        <v>343</v>
      </c>
      <c r="B344" s="24" t="s">
        <v>371</v>
      </c>
      <c r="C344" s="23">
        <v>15</v>
      </c>
      <c r="D344" s="23">
        <f>SUMIF(ENTRADAS[[#All],[CODIGO]],PRODUCTOS[[#This Row],[CODIGO]],ENTRADAS[[#All],[CANTIDAD]])</f>
        <v>0</v>
      </c>
      <c r="E344" s="20">
        <f>SUMIF(SALIDAS[[#All],[CODIGO]],PRODUCTOS[[#This Row],[CODIGO]],SALIDAS[[#All],[CANTIDAD ]])</f>
        <v>0</v>
      </c>
      <c r="F344" s="22">
        <v>22000</v>
      </c>
      <c r="G344" s="21">
        <v>0</v>
      </c>
    </row>
    <row r="345" spans="1:7" x14ac:dyDescent="0.25">
      <c r="A345" s="39">
        <v>344</v>
      </c>
      <c r="B345" s="24" t="s">
        <v>372</v>
      </c>
      <c r="C345" s="23">
        <v>11</v>
      </c>
      <c r="D345" s="23">
        <f>SUMIF(ENTRADAS[[#All],[CODIGO]],PRODUCTOS[[#This Row],[CODIGO]],ENTRADAS[[#All],[CANTIDAD]])</f>
        <v>0</v>
      </c>
      <c r="E345" s="20">
        <f>SUMIF(SALIDAS[[#All],[CODIGO]],PRODUCTOS[[#This Row],[CODIGO]],SALIDAS[[#All],[CANTIDAD ]])</f>
        <v>0</v>
      </c>
      <c r="F345" s="22">
        <v>16000</v>
      </c>
      <c r="G345" s="21">
        <v>0</v>
      </c>
    </row>
    <row r="346" spans="1:7" x14ac:dyDescent="0.25">
      <c r="A346" s="38">
        <v>345</v>
      </c>
      <c r="B346" s="24" t="s">
        <v>373</v>
      </c>
      <c r="C346" s="23">
        <v>9</v>
      </c>
      <c r="D346" s="23">
        <f>SUMIF(ENTRADAS[[#All],[CODIGO]],PRODUCTOS[[#This Row],[CODIGO]],ENTRADAS[[#All],[CANTIDAD]])</f>
        <v>0</v>
      </c>
      <c r="E346" s="20">
        <f>SUMIF(SALIDAS[[#All],[CODIGO]],PRODUCTOS[[#This Row],[CODIGO]],SALIDAS[[#All],[CANTIDAD ]])</f>
        <v>0</v>
      </c>
      <c r="F346" s="22">
        <v>55000</v>
      </c>
      <c r="G346" s="21">
        <v>0</v>
      </c>
    </row>
    <row r="347" spans="1:7" x14ac:dyDescent="0.25">
      <c r="A347" s="38">
        <v>346</v>
      </c>
      <c r="B347" s="24" t="s">
        <v>374</v>
      </c>
      <c r="C347" s="23">
        <v>6</v>
      </c>
      <c r="D347" s="23">
        <f>SUMIF(ENTRADAS[[#All],[CODIGO]],PRODUCTOS[[#This Row],[CODIGO]],ENTRADAS[[#All],[CANTIDAD]])</f>
        <v>0</v>
      </c>
      <c r="E347" s="20">
        <f>SUMIF(SALIDAS[[#All],[CODIGO]],PRODUCTOS[[#This Row],[CODIGO]],SALIDAS[[#All],[CANTIDAD ]])</f>
        <v>0</v>
      </c>
      <c r="F347" s="22">
        <v>40000</v>
      </c>
      <c r="G347" s="21">
        <v>0</v>
      </c>
    </row>
    <row r="348" spans="1:7" x14ac:dyDescent="0.25">
      <c r="A348" s="39">
        <v>347</v>
      </c>
      <c r="B348" s="24" t="s">
        <v>375</v>
      </c>
      <c r="C348" s="23">
        <v>36</v>
      </c>
      <c r="D348" s="23">
        <f>SUMIF(ENTRADAS[[#All],[CODIGO]],PRODUCTOS[[#This Row],[CODIGO]],ENTRADAS[[#All],[CANTIDAD]])</f>
        <v>0</v>
      </c>
      <c r="E348" s="20">
        <f>SUMIF(SALIDAS[[#All],[CODIGO]],PRODUCTOS[[#This Row],[CODIGO]],SALIDAS[[#All],[CANTIDAD ]])</f>
        <v>0</v>
      </c>
      <c r="F348" s="22">
        <v>40000</v>
      </c>
      <c r="G348" s="21">
        <v>0</v>
      </c>
    </row>
    <row r="349" spans="1:7" x14ac:dyDescent="0.25">
      <c r="A349" s="38">
        <v>348</v>
      </c>
      <c r="B349" s="24" t="s">
        <v>376</v>
      </c>
      <c r="C349" s="23">
        <v>4</v>
      </c>
      <c r="D349" s="23">
        <f>SUMIF(ENTRADAS[[#All],[CODIGO]],PRODUCTOS[[#This Row],[CODIGO]],ENTRADAS[[#All],[CANTIDAD]])</f>
        <v>0</v>
      </c>
      <c r="E349" s="20">
        <f>SUMIF(SALIDAS[[#All],[CODIGO]],PRODUCTOS[[#This Row],[CODIGO]],SALIDAS[[#All],[CANTIDAD ]])</f>
        <v>0</v>
      </c>
      <c r="F349" s="22">
        <v>25000</v>
      </c>
      <c r="G349" s="21">
        <v>0</v>
      </c>
    </row>
    <row r="350" spans="1:7" x14ac:dyDescent="0.25">
      <c r="A350" s="38">
        <v>349</v>
      </c>
      <c r="B350" s="24" t="s">
        <v>377</v>
      </c>
      <c r="C350" s="23">
        <v>11</v>
      </c>
      <c r="D350" s="23">
        <f>SUMIF(ENTRADAS[[#All],[CODIGO]],PRODUCTOS[[#This Row],[CODIGO]],ENTRADAS[[#All],[CANTIDAD]])</f>
        <v>0</v>
      </c>
      <c r="E350" s="20">
        <f>SUMIF(SALIDAS[[#All],[CODIGO]],PRODUCTOS[[#This Row],[CODIGO]],SALIDAS[[#All],[CANTIDAD ]])</f>
        <v>0</v>
      </c>
      <c r="F350" s="22">
        <v>25000</v>
      </c>
      <c r="G350" s="21">
        <v>0</v>
      </c>
    </row>
    <row r="351" spans="1:7" x14ac:dyDescent="0.25">
      <c r="A351" s="39">
        <v>350</v>
      </c>
      <c r="B351" s="24" t="s">
        <v>378</v>
      </c>
      <c r="C351" s="23">
        <v>35</v>
      </c>
      <c r="D351" s="23">
        <f>SUMIF(ENTRADAS[[#All],[CODIGO]],PRODUCTOS[[#This Row],[CODIGO]],ENTRADAS[[#All],[CANTIDAD]])</f>
        <v>0</v>
      </c>
      <c r="E351" s="20">
        <f>SUMIF(SALIDAS[[#All],[CODIGO]],PRODUCTOS[[#This Row],[CODIGO]],SALIDAS[[#All],[CANTIDAD ]])</f>
        <v>0</v>
      </c>
      <c r="F351" s="22">
        <v>30000</v>
      </c>
      <c r="G351" s="21">
        <v>0</v>
      </c>
    </row>
    <row r="352" spans="1:7" x14ac:dyDescent="0.25">
      <c r="A352" s="38">
        <v>351</v>
      </c>
      <c r="B352" s="24" t="s">
        <v>379</v>
      </c>
      <c r="C352" s="23">
        <v>1</v>
      </c>
      <c r="D352" s="23">
        <f>SUMIF(ENTRADAS[[#All],[CODIGO]],PRODUCTOS[[#This Row],[CODIGO]],ENTRADAS[[#All],[CANTIDAD]])</f>
        <v>0</v>
      </c>
      <c r="E352" s="20">
        <f>SUMIF(SALIDAS[[#All],[CODIGO]],PRODUCTOS[[#This Row],[CODIGO]],SALIDAS[[#All],[CANTIDAD ]])</f>
        <v>0</v>
      </c>
      <c r="F352" s="22">
        <v>35000</v>
      </c>
      <c r="G352" s="21">
        <v>0</v>
      </c>
    </row>
    <row r="353" spans="1:9" x14ac:dyDescent="0.25">
      <c r="A353" s="38">
        <v>352</v>
      </c>
      <c r="B353" s="24" t="s">
        <v>380</v>
      </c>
      <c r="C353" s="23">
        <v>17</v>
      </c>
      <c r="D353" s="23">
        <f>SUMIF(ENTRADAS[[#All],[CODIGO]],PRODUCTOS[[#This Row],[CODIGO]],ENTRADAS[[#All],[CANTIDAD]])</f>
        <v>0</v>
      </c>
      <c r="E353" s="20">
        <f>SUMIF(SALIDAS[[#All],[CODIGO]],PRODUCTOS[[#This Row],[CODIGO]],SALIDAS[[#All],[CANTIDAD ]])</f>
        <v>0</v>
      </c>
      <c r="F353" s="22">
        <v>185000</v>
      </c>
      <c r="G353" s="21">
        <v>0</v>
      </c>
    </row>
    <row r="354" spans="1:9" x14ac:dyDescent="0.25">
      <c r="A354" s="39">
        <v>353</v>
      </c>
      <c r="B354" s="24" t="s">
        <v>381</v>
      </c>
      <c r="C354" s="23">
        <v>15</v>
      </c>
      <c r="D354" s="23">
        <f>SUMIF(ENTRADAS[[#All],[CODIGO]],PRODUCTOS[[#This Row],[CODIGO]],ENTRADAS[[#All],[CANTIDAD]])</f>
        <v>0</v>
      </c>
      <c r="E354" s="20">
        <f>SUMIF(SALIDAS[[#All],[CODIGO]],PRODUCTOS[[#This Row],[CODIGO]],SALIDAS[[#All],[CANTIDAD ]])</f>
        <v>0</v>
      </c>
      <c r="F354" s="22">
        <v>175000</v>
      </c>
      <c r="G354" s="21">
        <v>0</v>
      </c>
    </row>
    <row r="355" spans="1:9" x14ac:dyDescent="0.25">
      <c r="A355" s="38">
        <v>354</v>
      </c>
      <c r="B355" s="24" t="s">
        <v>382</v>
      </c>
      <c r="C355" s="23">
        <v>11</v>
      </c>
      <c r="D355" s="23">
        <f>SUMIF(ENTRADAS[[#All],[CODIGO]],PRODUCTOS[[#This Row],[CODIGO]],ENTRADAS[[#All],[CANTIDAD]])</f>
        <v>0</v>
      </c>
      <c r="E355" s="20">
        <f>SUMIF(SALIDAS[[#All],[CODIGO]],PRODUCTOS[[#This Row],[CODIGO]],SALIDAS[[#All],[CANTIDAD ]])</f>
        <v>0</v>
      </c>
      <c r="F355" s="22">
        <v>195000</v>
      </c>
      <c r="G355" s="21">
        <v>0</v>
      </c>
      <c r="I355" t="s">
        <v>395</v>
      </c>
    </row>
    <row r="356" spans="1:9" x14ac:dyDescent="0.25">
      <c r="A356" s="38">
        <v>355</v>
      </c>
      <c r="B356" s="24" t="s">
        <v>384</v>
      </c>
      <c r="C356" s="23">
        <v>3</v>
      </c>
      <c r="D356" s="23">
        <f>SUMIF(ENTRADAS[[#All],[CODIGO]],PRODUCTOS[[#This Row],[CODIGO]],ENTRADAS[[#All],[CANTIDAD]])</f>
        <v>0</v>
      </c>
      <c r="E356" s="20">
        <f>SUMIF(SALIDAS[[#All],[CODIGO]],PRODUCTOS[[#This Row],[CODIGO]],SALIDAS[[#All],[CANTIDAD ]])</f>
        <v>0</v>
      </c>
      <c r="F356" s="22">
        <v>570000</v>
      </c>
      <c r="G356" s="21">
        <v>0</v>
      </c>
    </row>
    <row r="357" spans="1:9" x14ac:dyDescent="0.25">
      <c r="A357" s="39">
        <v>356</v>
      </c>
      <c r="B357" s="24" t="s">
        <v>383</v>
      </c>
      <c r="C357" s="23">
        <v>1</v>
      </c>
      <c r="D357" s="23">
        <f>SUMIF(ENTRADAS[[#All],[CODIGO]],PRODUCTOS[[#This Row],[CODIGO]],ENTRADAS[[#All],[CANTIDAD]])</f>
        <v>0</v>
      </c>
      <c r="E357" s="20">
        <f>SUMIF(SALIDAS[[#All],[CODIGO]],PRODUCTOS[[#This Row],[CODIGO]],SALIDAS[[#All],[CANTIDAD ]])</f>
        <v>0</v>
      </c>
      <c r="F357" s="22">
        <v>440000</v>
      </c>
      <c r="G357" s="21">
        <v>0</v>
      </c>
    </row>
    <row r="358" spans="1:9" x14ac:dyDescent="0.25">
      <c r="A358" s="38">
        <v>357</v>
      </c>
      <c r="B358" s="24" t="s">
        <v>385</v>
      </c>
      <c r="C358" s="23">
        <v>4</v>
      </c>
      <c r="D358" s="23">
        <f>SUMIF(ENTRADAS[[#All],[CODIGO]],PRODUCTOS[[#This Row],[CODIGO]],ENTRADAS[[#All],[CANTIDAD]])</f>
        <v>0</v>
      </c>
      <c r="E358" s="20">
        <f>SUMIF(SALIDAS[[#All],[CODIGO]],PRODUCTOS[[#This Row],[CODIGO]],SALIDAS[[#All],[CANTIDAD ]])</f>
        <v>0</v>
      </c>
      <c r="F358" s="22">
        <v>290000</v>
      </c>
      <c r="G358" s="21">
        <v>0</v>
      </c>
    </row>
    <row r="359" spans="1:9" x14ac:dyDescent="0.25">
      <c r="A359" s="38">
        <v>358</v>
      </c>
      <c r="B359" s="24" t="s">
        <v>386</v>
      </c>
      <c r="C359" s="23">
        <v>5</v>
      </c>
      <c r="D359" s="23">
        <f>SUMIF(ENTRADAS[[#All],[CODIGO]],PRODUCTOS[[#This Row],[CODIGO]],ENTRADAS[[#All],[CANTIDAD]])</f>
        <v>0</v>
      </c>
      <c r="E359" s="20">
        <f>SUMIF(SALIDAS[[#All],[CODIGO]],PRODUCTOS[[#This Row],[CODIGO]],SALIDAS[[#All],[CANTIDAD ]])</f>
        <v>0</v>
      </c>
      <c r="F359" s="22">
        <v>55000</v>
      </c>
      <c r="G359" s="21">
        <v>0</v>
      </c>
    </row>
    <row r="360" spans="1:9" x14ac:dyDescent="0.25">
      <c r="A360" s="38">
        <v>359</v>
      </c>
      <c r="B360" s="24" t="s">
        <v>387</v>
      </c>
      <c r="C360" s="23">
        <v>33</v>
      </c>
      <c r="D360" s="23">
        <f>SUMIF(ENTRADAS[[#All],[CODIGO]],PRODUCTOS[[#This Row],[CODIGO]],ENTRADAS[[#All],[CANTIDAD]])</f>
        <v>0</v>
      </c>
      <c r="E360" s="20">
        <f>SUMIF(SALIDAS[[#All],[CODIGO]],PRODUCTOS[[#This Row],[CODIGO]],SALIDAS[[#All],[CANTIDAD ]])</f>
        <v>0</v>
      </c>
      <c r="F360" s="22">
        <v>4500</v>
      </c>
      <c r="G360" s="21">
        <v>0</v>
      </c>
    </row>
    <row r="361" spans="1:9" x14ac:dyDescent="0.25">
      <c r="A361" s="39">
        <v>360</v>
      </c>
      <c r="B361" s="24" t="s">
        <v>389</v>
      </c>
      <c r="C361" s="23">
        <v>40</v>
      </c>
      <c r="D361" s="23">
        <f>SUMIF(ENTRADAS[[#All],[CODIGO]],PRODUCTOS[[#This Row],[CODIGO]],ENTRADAS[[#All],[CANTIDAD]])</f>
        <v>0</v>
      </c>
      <c r="E361" s="20">
        <f>SUMIF(SALIDAS[[#All],[CODIGO]],PRODUCTOS[[#This Row],[CODIGO]],SALIDAS[[#All],[CANTIDAD ]])</f>
        <v>0</v>
      </c>
      <c r="F361" s="22">
        <v>9500</v>
      </c>
      <c r="G361" s="21">
        <v>0</v>
      </c>
    </row>
    <row r="362" spans="1:9" x14ac:dyDescent="0.25">
      <c r="A362" s="38">
        <v>361</v>
      </c>
      <c r="B362" s="24" t="s">
        <v>394</v>
      </c>
      <c r="C362" s="23">
        <v>2</v>
      </c>
      <c r="D362" s="23">
        <f>SUMIF(ENTRADAS[[#All],[CODIGO]],PRODUCTOS[[#This Row],[CODIGO]],ENTRADAS[[#All],[CANTIDAD]])</f>
        <v>0</v>
      </c>
      <c r="E362" s="20">
        <f>SUMIF(SALIDAS[[#All],[CODIGO]],PRODUCTOS[[#This Row],[CODIGO]],SALIDAS[[#All],[CANTIDAD ]])</f>
        <v>0</v>
      </c>
      <c r="F362" s="22">
        <v>15000</v>
      </c>
      <c r="G362" s="21">
        <v>0</v>
      </c>
    </row>
    <row r="363" spans="1:9" x14ac:dyDescent="0.25">
      <c r="A363" s="38">
        <v>362</v>
      </c>
      <c r="B363" s="24" t="s">
        <v>396</v>
      </c>
      <c r="C363" s="23">
        <v>0</v>
      </c>
      <c r="D363" s="23">
        <f>SUMIF(ENTRADAS[[#All],[CODIGO]],PRODUCTOS[[#This Row],[CODIGO]],ENTRADAS[[#All],[CANTIDAD]])</f>
        <v>0</v>
      </c>
      <c r="E363" s="20">
        <f>SUMIF(SALIDAS[[#All],[CODIGO]],PRODUCTOS[[#This Row],[CODIGO]],SALIDAS[[#All],[CANTIDAD ]])</f>
        <v>0</v>
      </c>
      <c r="F363" s="22">
        <v>1350000</v>
      </c>
      <c r="G363" s="21">
        <v>1500000</v>
      </c>
    </row>
    <row r="364" spans="1:9" x14ac:dyDescent="0.25">
      <c r="A364" s="39">
        <v>363</v>
      </c>
      <c r="B364" s="24" t="s">
        <v>397</v>
      </c>
      <c r="C364" s="23">
        <v>5</v>
      </c>
      <c r="D364" s="23">
        <f>SUMIF(ENTRADAS[[#All],[CODIGO]],PRODUCTOS[[#This Row],[CODIGO]],ENTRADAS[[#All],[CANTIDAD]])</f>
        <v>0</v>
      </c>
      <c r="E364" s="20">
        <f>SUMIF(SALIDAS[[#All],[CODIGO]],PRODUCTOS[[#This Row],[CODIGO]],SALIDAS[[#All],[CANTIDAD ]])</f>
        <v>0</v>
      </c>
      <c r="F364" s="22">
        <v>20000</v>
      </c>
      <c r="G364" s="21">
        <v>0</v>
      </c>
    </row>
    <row r="365" spans="1:9" x14ac:dyDescent="0.25">
      <c r="A365" s="38">
        <v>364</v>
      </c>
      <c r="B365" s="24" t="s">
        <v>398</v>
      </c>
      <c r="C365" s="23">
        <v>2</v>
      </c>
      <c r="D365" s="23">
        <f>SUMIF(ENTRADAS[[#All],[CODIGO]],PRODUCTOS[[#This Row],[CODIGO]],ENTRADAS[[#All],[CANTIDAD]])</f>
        <v>0</v>
      </c>
      <c r="E365" s="20">
        <f>SUMIF(SALIDAS[[#All],[CODIGO]],PRODUCTOS[[#This Row],[CODIGO]],SALIDAS[[#All],[CANTIDAD ]])</f>
        <v>0</v>
      </c>
      <c r="F365" s="22">
        <v>26000</v>
      </c>
      <c r="G365" s="21">
        <v>0</v>
      </c>
    </row>
    <row r="366" spans="1:9" x14ac:dyDescent="0.25">
      <c r="A366" s="48">
        <v>365</v>
      </c>
      <c r="B366" s="24" t="s">
        <v>399</v>
      </c>
      <c r="C366" s="23">
        <v>2</v>
      </c>
      <c r="D366" s="23">
        <f>SUMIF(ENTRADAS[[#All],[CODIGO]],PRODUCTOS[[#This Row],[CODIGO]],ENTRADAS[[#All],[CANTIDAD]])</f>
        <v>0</v>
      </c>
      <c r="E366" s="20">
        <f>SUMIF(SALIDAS[[#All],[CODIGO]],PRODUCTOS[[#This Row],[CODIGO]],SALIDAS[[#All],[CANTIDAD ]])</f>
        <v>0</v>
      </c>
      <c r="F366" s="22">
        <v>28000</v>
      </c>
      <c r="G366" s="21">
        <v>0</v>
      </c>
    </row>
    <row r="367" spans="1:9" x14ac:dyDescent="0.25">
      <c r="A367" s="48">
        <v>366</v>
      </c>
      <c r="B367" s="24" t="s">
        <v>402</v>
      </c>
      <c r="C367" s="23">
        <v>2</v>
      </c>
      <c r="D367" s="23">
        <f>SUMIF(ENTRADAS[[#All],[CODIGO]],PRODUCTOS[[#This Row],[CODIGO]],ENTRADAS[[#All],[CANTIDAD]])</f>
        <v>0</v>
      </c>
      <c r="E367" s="20">
        <f>SUMIF(SALIDAS[[#All],[CODIGO]],PRODUCTOS[[#This Row],[CODIGO]],SALIDAS[[#All],[CANTIDAD ]])</f>
        <v>0</v>
      </c>
      <c r="F367" s="22">
        <v>33000</v>
      </c>
      <c r="G367" s="21">
        <v>0</v>
      </c>
    </row>
    <row r="368" spans="1:9" x14ac:dyDescent="0.25">
      <c r="A368" s="48">
        <v>367</v>
      </c>
      <c r="B368" s="24" t="s">
        <v>403</v>
      </c>
      <c r="C368" s="23">
        <v>2</v>
      </c>
      <c r="D368" s="23">
        <f>SUMIF(ENTRADAS[[#All],[CODIGO]],PRODUCTOS[[#This Row],[CODIGO]],ENTRADAS[[#All],[CANTIDAD]])</f>
        <v>0</v>
      </c>
      <c r="E368" s="20">
        <f>SUMIF(SALIDAS[[#All],[CODIGO]],PRODUCTOS[[#This Row],[CODIGO]],SALIDAS[[#All],[CANTIDAD ]])</f>
        <v>0</v>
      </c>
      <c r="F368" s="22">
        <v>36000</v>
      </c>
      <c r="G368" s="21">
        <v>0</v>
      </c>
    </row>
    <row r="369" spans="1:7" x14ac:dyDescent="0.25">
      <c r="A369" s="48">
        <v>368</v>
      </c>
      <c r="B369" s="24" t="s">
        <v>404</v>
      </c>
      <c r="C369" s="23">
        <v>2</v>
      </c>
      <c r="D369" s="23">
        <f>SUMIF(ENTRADAS[[#All],[CODIGO]],PRODUCTOS[[#This Row],[CODIGO]],ENTRADAS[[#All],[CANTIDAD]])</f>
        <v>0</v>
      </c>
      <c r="E369" s="20">
        <f>SUMIF(SALIDAS[[#All],[CODIGO]],PRODUCTOS[[#This Row],[CODIGO]],SALIDAS[[#All],[CANTIDAD ]])</f>
        <v>0</v>
      </c>
      <c r="F369" s="22">
        <v>48000</v>
      </c>
      <c r="G369" s="21">
        <v>0</v>
      </c>
    </row>
    <row r="370" spans="1:7" x14ac:dyDescent="0.25">
      <c r="A370" s="48">
        <v>369</v>
      </c>
      <c r="B370" s="24" t="s">
        <v>405</v>
      </c>
      <c r="C370" s="23">
        <v>2</v>
      </c>
      <c r="D370" s="23">
        <f>SUMIF(ENTRADAS[[#All],[CODIGO]],PRODUCTOS[[#This Row],[CODIGO]],ENTRADAS[[#All],[CANTIDAD]])</f>
        <v>0</v>
      </c>
      <c r="E370" s="20">
        <f>SUMIF(SALIDAS[[#All],[CODIGO]],PRODUCTOS[[#This Row],[CODIGO]],SALIDAS[[#All],[CANTIDAD ]])</f>
        <v>0</v>
      </c>
      <c r="F370" s="22">
        <v>20000</v>
      </c>
      <c r="G370" s="21">
        <v>0</v>
      </c>
    </row>
    <row r="371" spans="1:7" x14ac:dyDescent="0.25">
      <c r="A371" s="48">
        <v>370</v>
      </c>
      <c r="B371" s="24" t="s">
        <v>408</v>
      </c>
      <c r="C371" s="23">
        <v>2</v>
      </c>
      <c r="D371" s="23">
        <f>SUMIF(ENTRADAS[[#All],[CODIGO]],PRODUCTOS[[#This Row],[CODIGO]],ENTRADAS[[#All],[CANTIDAD]])</f>
        <v>0</v>
      </c>
      <c r="E371" s="20">
        <f>SUMIF(SALIDAS[[#All],[CODIGO]],PRODUCTOS[[#This Row],[CODIGO]],SALIDAS[[#All],[CANTIDAD ]])</f>
        <v>0</v>
      </c>
      <c r="F371" s="22">
        <v>24000</v>
      </c>
      <c r="G371" s="21">
        <v>0</v>
      </c>
    </row>
    <row r="372" spans="1:7" x14ac:dyDescent="0.25">
      <c r="A372" s="48">
        <v>371</v>
      </c>
      <c r="B372" s="24" t="s">
        <v>407</v>
      </c>
      <c r="C372" s="23">
        <v>3</v>
      </c>
      <c r="D372" s="23">
        <f>SUMIF(ENTRADAS[[#All],[CODIGO]],PRODUCTOS[[#This Row],[CODIGO]],ENTRADAS[[#All],[CANTIDAD]])</f>
        <v>0</v>
      </c>
      <c r="E372" s="20">
        <f>SUMIF(SALIDAS[[#All],[CODIGO]],PRODUCTOS[[#This Row],[CODIGO]],SALIDAS[[#All],[CANTIDAD ]])</f>
        <v>0</v>
      </c>
      <c r="F372" s="22">
        <v>27000</v>
      </c>
      <c r="G372" s="21">
        <v>0</v>
      </c>
    </row>
    <row r="373" spans="1:7" x14ac:dyDescent="0.25">
      <c r="A373" s="48">
        <v>372</v>
      </c>
      <c r="B373" s="24" t="s">
        <v>406</v>
      </c>
      <c r="C373" s="23">
        <v>3</v>
      </c>
      <c r="D373" s="23">
        <f>SUMIF(ENTRADAS[[#All],[CODIGO]],PRODUCTOS[[#This Row],[CODIGO]],ENTRADAS[[#All],[CANTIDAD]])</f>
        <v>0</v>
      </c>
      <c r="E373" s="20">
        <f>SUMIF(SALIDAS[[#All],[CODIGO]],PRODUCTOS[[#This Row],[CODIGO]],SALIDAS[[#All],[CANTIDAD ]])</f>
        <v>0</v>
      </c>
      <c r="F373" s="22">
        <v>29000</v>
      </c>
      <c r="G373" s="21">
        <v>0</v>
      </c>
    </row>
    <row r="374" spans="1:7" x14ac:dyDescent="0.25">
      <c r="A374" s="48">
        <v>373</v>
      </c>
      <c r="B374" s="24" t="s">
        <v>409</v>
      </c>
      <c r="C374" s="23">
        <v>3</v>
      </c>
      <c r="D374" s="23">
        <f>SUMIF(ENTRADAS[[#All],[CODIGO]],PRODUCTOS[[#This Row],[CODIGO]],ENTRADAS[[#All],[CANTIDAD]])</f>
        <v>0</v>
      </c>
      <c r="E374" s="20">
        <f>SUMIF(SALIDAS[[#All],[CODIGO]],PRODUCTOS[[#This Row],[CODIGO]],SALIDAS[[#All],[CANTIDAD ]])</f>
        <v>0</v>
      </c>
      <c r="F374" s="22">
        <v>39000</v>
      </c>
      <c r="G374" s="21">
        <v>0</v>
      </c>
    </row>
    <row r="375" spans="1:7" x14ac:dyDescent="0.25">
      <c r="A375" s="48">
        <v>374</v>
      </c>
      <c r="B375" s="24" t="s">
        <v>410</v>
      </c>
      <c r="C375" s="23">
        <v>8</v>
      </c>
      <c r="D375" s="23">
        <f>SUMIF(ENTRADAS[[#All],[CODIGO]],PRODUCTOS[[#This Row],[CODIGO]],ENTRADAS[[#All],[CANTIDAD]])</f>
        <v>0</v>
      </c>
      <c r="E375" s="20">
        <f>SUMIF(SALIDAS[[#All],[CODIGO]],PRODUCTOS[[#This Row],[CODIGO]],SALIDAS[[#All],[CANTIDAD ]])</f>
        <v>0</v>
      </c>
      <c r="F375" s="22">
        <v>440000</v>
      </c>
      <c r="G375" s="21">
        <v>540000</v>
      </c>
    </row>
    <row r="376" spans="1:7" x14ac:dyDescent="0.25">
      <c r="A376" s="48">
        <v>375</v>
      </c>
      <c r="B376" s="24" t="s">
        <v>411</v>
      </c>
      <c r="C376" s="23">
        <v>8</v>
      </c>
      <c r="D376" s="23">
        <f>SUMIF(ENTRADAS[[#All],[CODIGO]],PRODUCTOS[[#This Row],[CODIGO]],ENTRADAS[[#All],[CANTIDAD]])</f>
        <v>0</v>
      </c>
      <c r="E376" s="20">
        <f>SUMIF(SALIDAS[[#All],[CODIGO]],PRODUCTOS[[#This Row],[CODIGO]],SALIDAS[[#All],[CANTIDAD ]])</f>
        <v>0</v>
      </c>
      <c r="F376" s="22">
        <v>435000</v>
      </c>
      <c r="G376" s="21">
        <v>535000</v>
      </c>
    </row>
    <row r="377" spans="1:7" x14ac:dyDescent="0.25">
      <c r="A377" s="48">
        <v>376</v>
      </c>
      <c r="B377" s="24" t="s">
        <v>412</v>
      </c>
      <c r="C377" s="23">
        <v>1</v>
      </c>
      <c r="D377" s="23">
        <f>SUMIF(ENTRADAS[[#All],[CODIGO]],PRODUCTOS[[#This Row],[CODIGO]],ENTRADAS[[#All],[CANTIDAD]])</f>
        <v>0</v>
      </c>
      <c r="E377" s="20">
        <f>SUMIF(SALIDAS[[#All],[CODIGO]],PRODUCTOS[[#This Row],[CODIGO]],SALIDAS[[#All],[CANTIDAD ]])</f>
        <v>0</v>
      </c>
      <c r="F377" s="22">
        <v>1450000</v>
      </c>
      <c r="G377" s="21">
        <v>1600000</v>
      </c>
    </row>
    <row r="378" spans="1:7" x14ac:dyDescent="0.25">
      <c r="A378" s="48">
        <v>377</v>
      </c>
      <c r="B378" s="24" t="s">
        <v>413</v>
      </c>
      <c r="C378" s="23">
        <v>1</v>
      </c>
      <c r="D378" s="23">
        <f>SUMIF(ENTRADAS[[#All],[CODIGO]],PRODUCTOS[[#This Row],[CODIGO]],ENTRADAS[[#All],[CANTIDAD]])</f>
        <v>0</v>
      </c>
      <c r="E378" s="20">
        <f>SUMIF(SALIDAS[[#All],[CODIGO]],PRODUCTOS[[#This Row],[CODIGO]],SALIDAS[[#All],[CANTIDAD ]])</f>
        <v>0</v>
      </c>
      <c r="F378" s="22">
        <v>1220000</v>
      </c>
      <c r="G378" s="21">
        <v>1320000</v>
      </c>
    </row>
    <row r="379" spans="1:7" x14ac:dyDescent="0.25">
      <c r="A379" s="48">
        <v>378</v>
      </c>
      <c r="B379" s="24" t="s">
        <v>414</v>
      </c>
      <c r="C379" s="23">
        <v>9</v>
      </c>
      <c r="D379" s="23">
        <f>SUMIF(ENTRADAS[[#All],[CODIGO]],PRODUCTOS[[#This Row],[CODIGO]],ENTRADAS[[#All],[CANTIDAD]])</f>
        <v>0</v>
      </c>
      <c r="E379" s="20">
        <f>SUMIF(SALIDAS[[#All],[CODIGO]],PRODUCTOS[[#This Row],[CODIGO]],SALIDAS[[#All],[CANTIDAD ]])</f>
        <v>0</v>
      </c>
      <c r="F379" s="22">
        <v>60000</v>
      </c>
      <c r="G379" s="21">
        <v>0</v>
      </c>
    </row>
    <row r="380" spans="1:7" x14ac:dyDescent="0.25">
      <c r="A380" s="48">
        <v>380</v>
      </c>
      <c r="B380" s="24" t="s">
        <v>415</v>
      </c>
      <c r="C380" s="23">
        <v>6</v>
      </c>
      <c r="D380" s="23">
        <f>SUMIF(ENTRADAS[[#All],[CODIGO]],PRODUCTOS[[#This Row],[CODIGO]],ENTRADAS[[#All],[CANTIDAD]])</f>
        <v>0</v>
      </c>
      <c r="E380" s="20">
        <f>SUMIF(SALIDAS[[#All],[CODIGO]],PRODUCTOS[[#This Row],[CODIGO]],SALIDAS[[#All],[CANTIDAD ]])</f>
        <v>0</v>
      </c>
      <c r="F380" s="22">
        <v>70000</v>
      </c>
      <c r="G380" s="21">
        <v>0</v>
      </c>
    </row>
    <row r="381" spans="1:7" x14ac:dyDescent="0.25">
      <c r="A381" s="48">
        <v>381</v>
      </c>
      <c r="B381" s="24" t="s">
        <v>416</v>
      </c>
      <c r="C381" s="23">
        <v>4</v>
      </c>
      <c r="D381" s="23">
        <f>SUMIF(ENTRADAS[[#All],[CODIGO]],PRODUCTOS[[#This Row],[CODIGO]],ENTRADAS[[#All],[CANTIDAD]])</f>
        <v>0</v>
      </c>
      <c r="E381" s="20">
        <f>SUMIF(SALIDAS[[#All],[CODIGO]],PRODUCTOS[[#This Row],[CODIGO]],SALIDAS[[#All],[CANTIDAD ]])</f>
        <v>0</v>
      </c>
      <c r="F381" s="22">
        <v>60000</v>
      </c>
      <c r="G381" s="21">
        <v>0</v>
      </c>
    </row>
    <row r="382" spans="1:7" x14ac:dyDescent="0.25">
      <c r="A382" s="48">
        <v>382</v>
      </c>
      <c r="B382" s="24" t="s">
        <v>417</v>
      </c>
      <c r="C382" s="23">
        <v>3</v>
      </c>
      <c r="D382" s="23">
        <f>SUMIF(ENTRADAS[[#All],[CODIGO]],PRODUCTOS[[#This Row],[CODIGO]],ENTRADAS[[#All],[CANTIDAD]])</f>
        <v>0</v>
      </c>
      <c r="E382" s="20">
        <f>SUMIF(SALIDAS[[#All],[CODIGO]],PRODUCTOS[[#This Row],[CODIGO]],SALIDAS[[#All],[CANTIDAD ]])</f>
        <v>0</v>
      </c>
      <c r="F382" s="22">
        <v>35000</v>
      </c>
      <c r="G382" s="21">
        <v>0</v>
      </c>
    </row>
    <row r="383" spans="1:7" x14ac:dyDescent="0.25">
      <c r="A383" s="48">
        <v>383</v>
      </c>
      <c r="B383" s="24" t="s">
        <v>418</v>
      </c>
      <c r="C383" s="23">
        <v>1</v>
      </c>
      <c r="D383" s="23">
        <f>SUMIF(ENTRADAS[[#All],[CODIGO]],PRODUCTOS[[#This Row],[CODIGO]],ENTRADAS[[#All],[CANTIDAD]])</f>
        <v>0</v>
      </c>
      <c r="E383" s="20">
        <f>SUMIF(SALIDAS[[#All],[CODIGO]],PRODUCTOS[[#This Row],[CODIGO]],SALIDAS[[#All],[CANTIDAD ]])</f>
        <v>0</v>
      </c>
      <c r="F383" s="22">
        <v>90000</v>
      </c>
      <c r="G383" s="21">
        <v>0</v>
      </c>
    </row>
    <row r="384" spans="1:7" x14ac:dyDescent="0.25">
      <c r="A384" s="48">
        <v>384</v>
      </c>
      <c r="B384" s="24" t="s">
        <v>419</v>
      </c>
      <c r="C384" s="23">
        <v>1</v>
      </c>
      <c r="D384" s="23">
        <f>SUMIF(ENTRADAS[[#All],[CODIGO]],PRODUCTOS[[#This Row],[CODIGO]],ENTRADAS[[#All],[CANTIDAD]])</f>
        <v>0</v>
      </c>
      <c r="E384" s="20">
        <f>SUMIF(SALIDAS[[#All],[CODIGO]],PRODUCTOS[[#This Row],[CODIGO]],SALIDAS[[#All],[CANTIDAD ]])</f>
        <v>0</v>
      </c>
      <c r="F384" s="22">
        <v>95000</v>
      </c>
      <c r="G384" s="21">
        <v>0</v>
      </c>
    </row>
    <row r="385" spans="1:7" x14ac:dyDescent="0.25">
      <c r="A385" s="48">
        <v>385</v>
      </c>
      <c r="B385" s="24" t="s">
        <v>420</v>
      </c>
      <c r="C385" s="23">
        <v>1</v>
      </c>
      <c r="D385" s="23">
        <f>SUMIF(ENTRADAS[[#All],[CODIGO]],PRODUCTOS[[#This Row],[CODIGO]],ENTRADAS[[#All],[CANTIDAD]])</f>
        <v>0</v>
      </c>
      <c r="E385" s="20">
        <f>SUMIF(SALIDAS[[#All],[CODIGO]],PRODUCTOS[[#This Row],[CODIGO]],SALIDAS[[#All],[CANTIDAD ]])</f>
        <v>0</v>
      </c>
      <c r="F385" s="22">
        <v>90000</v>
      </c>
      <c r="G385" s="21">
        <v>0</v>
      </c>
    </row>
    <row r="386" spans="1:7" x14ac:dyDescent="0.25">
      <c r="A386" s="48">
        <v>386</v>
      </c>
      <c r="B386" s="24" t="s">
        <v>421</v>
      </c>
      <c r="C386" s="23">
        <v>2</v>
      </c>
      <c r="D386" s="23">
        <f>SUMIF(ENTRADAS[[#All],[CODIGO]],PRODUCTOS[[#This Row],[CODIGO]],ENTRADAS[[#All],[CANTIDAD]])</f>
        <v>0</v>
      </c>
      <c r="E386" s="20">
        <f>SUMIF(SALIDAS[[#All],[CODIGO]],PRODUCTOS[[#This Row],[CODIGO]],SALIDAS[[#All],[CANTIDAD ]])</f>
        <v>0</v>
      </c>
      <c r="F386" s="22">
        <v>50000</v>
      </c>
      <c r="G386" s="21">
        <v>0</v>
      </c>
    </row>
    <row r="387" spans="1:7" x14ac:dyDescent="0.25">
      <c r="A387" s="48">
        <v>387</v>
      </c>
      <c r="B387" s="24" t="s">
        <v>422</v>
      </c>
      <c r="C387" s="23">
        <v>1</v>
      </c>
      <c r="D387" s="23">
        <f>SUMIF(ENTRADAS[[#All],[CODIGO]],PRODUCTOS[[#This Row],[CODIGO]],ENTRADAS[[#All],[CANTIDAD]])</f>
        <v>0</v>
      </c>
      <c r="E387" s="20">
        <f>SUMIF(SALIDAS[[#All],[CODIGO]],PRODUCTOS[[#This Row],[CODIGO]],SALIDAS[[#All],[CANTIDAD ]])</f>
        <v>0</v>
      </c>
      <c r="F387" s="22">
        <v>55000</v>
      </c>
      <c r="G387" s="21">
        <v>0</v>
      </c>
    </row>
    <row r="388" spans="1:7" x14ac:dyDescent="0.25">
      <c r="A388" s="48">
        <v>388</v>
      </c>
      <c r="B388" s="24" t="s">
        <v>423</v>
      </c>
      <c r="C388" s="23">
        <v>8</v>
      </c>
      <c r="D388" s="23">
        <f>SUMIF(ENTRADAS[[#All],[CODIGO]],PRODUCTOS[[#This Row],[CODIGO]],ENTRADAS[[#All],[CANTIDAD]])</f>
        <v>0</v>
      </c>
      <c r="E388" s="20">
        <f>SUMIF(SALIDAS[[#All],[CODIGO]],PRODUCTOS[[#This Row],[CODIGO]],SALIDAS[[#All],[CANTIDAD ]])</f>
        <v>0</v>
      </c>
      <c r="F388" s="22">
        <v>2000</v>
      </c>
      <c r="G388" s="21">
        <v>0</v>
      </c>
    </row>
    <row r="389" spans="1:7" x14ac:dyDescent="0.25">
      <c r="A389" s="48">
        <v>389</v>
      </c>
      <c r="B389" s="24" t="s">
        <v>425</v>
      </c>
      <c r="C389" s="23">
        <v>61</v>
      </c>
      <c r="D389" s="23">
        <f>SUMIF(ENTRADAS[[#All],[CODIGO]],PRODUCTOS[[#This Row],[CODIGO]],ENTRADAS[[#All],[CANTIDAD]])</f>
        <v>0</v>
      </c>
      <c r="E389" s="20">
        <f>SUMIF(SALIDAS[[#All],[CODIGO]],PRODUCTOS[[#This Row],[CODIGO]],SALIDAS[[#All],[CANTIDAD ]])</f>
        <v>0</v>
      </c>
      <c r="F389" s="22">
        <v>5000</v>
      </c>
      <c r="G389" s="21">
        <v>0</v>
      </c>
    </row>
    <row r="390" spans="1:7" x14ac:dyDescent="0.25">
      <c r="A390" s="48">
        <v>390</v>
      </c>
      <c r="B390" s="24" t="s">
        <v>426</v>
      </c>
      <c r="C390" s="23">
        <v>1</v>
      </c>
      <c r="D390" s="23">
        <f>SUMIF(ENTRADAS[[#All],[CODIGO]],PRODUCTOS[[#This Row],[CODIGO]],ENTRADAS[[#All],[CANTIDAD]])</f>
        <v>0</v>
      </c>
      <c r="E390" s="20">
        <f>SUMIF(SALIDAS[[#All],[CODIGO]],PRODUCTOS[[#This Row],[CODIGO]],SALIDAS[[#All],[CANTIDAD ]])</f>
        <v>0</v>
      </c>
      <c r="F390" s="22">
        <v>39500</v>
      </c>
      <c r="G390" s="21">
        <v>0</v>
      </c>
    </row>
    <row r="391" spans="1:7" x14ac:dyDescent="0.25">
      <c r="A391" s="48">
        <v>391</v>
      </c>
      <c r="B391" s="24" t="s">
        <v>427</v>
      </c>
      <c r="C391" s="23">
        <v>1</v>
      </c>
      <c r="D391" s="23">
        <f>SUMIF(ENTRADAS[[#All],[CODIGO]],PRODUCTOS[[#This Row],[CODIGO]],ENTRADAS[[#All],[CANTIDAD]])</f>
        <v>0</v>
      </c>
      <c r="E391" s="20">
        <f>SUMIF(SALIDAS[[#All],[CODIGO]],PRODUCTOS[[#This Row],[CODIGO]],SALIDAS[[#All],[CANTIDAD ]])</f>
        <v>0</v>
      </c>
      <c r="F391" s="22">
        <v>25000</v>
      </c>
      <c r="G391" s="21">
        <v>0</v>
      </c>
    </row>
    <row r="392" spans="1:7" x14ac:dyDescent="0.25">
      <c r="A392" s="48">
        <v>392</v>
      </c>
      <c r="B392" s="24" t="s">
        <v>428</v>
      </c>
      <c r="C392" s="23">
        <v>1</v>
      </c>
      <c r="D392" s="23">
        <f>SUMIF(ENTRADAS[[#All],[CODIGO]],PRODUCTOS[[#This Row],[CODIGO]],ENTRADAS[[#All],[CANTIDAD]])</f>
        <v>0</v>
      </c>
      <c r="E392" s="20">
        <f>SUMIF(SALIDAS[[#All],[CODIGO]],PRODUCTOS[[#This Row],[CODIGO]],SALIDAS[[#All],[CANTIDAD ]])</f>
        <v>0</v>
      </c>
      <c r="F392" s="22">
        <v>18000</v>
      </c>
      <c r="G392" s="21">
        <v>0</v>
      </c>
    </row>
    <row r="393" spans="1:7" x14ac:dyDescent="0.25">
      <c r="A393" s="48">
        <v>393</v>
      </c>
      <c r="B393" s="24" t="s">
        <v>429</v>
      </c>
      <c r="C393" s="23">
        <v>1</v>
      </c>
      <c r="D393" s="23">
        <f>SUMIF(ENTRADAS[[#All],[CODIGO]],PRODUCTOS[[#This Row],[CODIGO]],ENTRADAS[[#All],[CANTIDAD]])</f>
        <v>0</v>
      </c>
      <c r="E393" s="20">
        <f>SUMIF(SALIDAS[[#All],[CODIGO]],PRODUCTOS[[#This Row],[CODIGO]],SALIDAS[[#All],[CANTIDAD ]])</f>
        <v>0</v>
      </c>
      <c r="F393" s="22">
        <v>10000</v>
      </c>
      <c r="G393" s="21">
        <v>0</v>
      </c>
    </row>
    <row r="394" spans="1:7" x14ac:dyDescent="0.25">
      <c r="A394" s="48">
        <v>394</v>
      </c>
      <c r="B394" s="24" t="s">
        <v>430</v>
      </c>
      <c r="C394" s="23">
        <v>3</v>
      </c>
      <c r="D394" s="23">
        <f>SUMIF(ENTRADAS[[#All],[CODIGO]],PRODUCTOS[[#This Row],[CODIGO]],ENTRADAS[[#All],[CANTIDAD]])</f>
        <v>0</v>
      </c>
      <c r="E394" s="20">
        <f>SUMIF(SALIDAS[[#All],[CODIGO]],PRODUCTOS[[#This Row],[CODIGO]],SALIDAS[[#All],[CANTIDAD ]])</f>
        <v>0</v>
      </c>
      <c r="F394" s="22">
        <v>35000</v>
      </c>
      <c r="G394" s="21">
        <v>0</v>
      </c>
    </row>
    <row r="395" spans="1:7" x14ac:dyDescent="0.25">
      <c r="A395" s="48">
        <v>395</v>
      </c>
      <c r="B395" s="24" t="s">
        <v>431</v>
      </c>
      <c r="C395" s="23">
        <v>2</v>
      </c>
      <c r="D395" s="23">
        <f>SUMIF(ENTRADAS[[#All],[CODIGO]],PRODUCTOS[[#This Row],[CODIGO]],ENTRADAS[[#All],[CANTIDAD]])</f>
        <v>0</v>
      </c>
      <c r="E395" s="20">
        <f>SUMIF(SALIDAS[[#All],[CODIGO]],PRODUCTOS[[#This Row],[CODIGO]],SALIDAS[[#All],[CANTIDAD ]])</f>
        <v>0</v>
      </c>
      <c r="F395" s="22">
        <v>80000</v>
      </c>
      <c r="G395" s="21">
        <v>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9C856-E14C-42F1-9F67-3A7EF9403AF4}">
  <dimension ref="A1:D2"/>
  <sheetViews>
    <sheetView workbookViewId="0">
      <selection activeCell="C2" sqref="C2"/>
    </sheetView>
  </sheetViews>
  <sheetFormatPr baseColWidth="10" defaultRowHeight="15" x14ac:dyDescent="0.25"/>
  <cols>
    <col min="1" max="1" width="12.5703125" customWidth="1"/>
    <col min="2" max="2" width="13.140625" customWidth="1"/>
    <col min="3" max="3" width="45.85546875" customWidth="1"/>
    <col min="4" max="4" width="12.42578125" customWidth="1"/>
  </cols>
  <sheetData>
    <row r="1" spans="1:4" x14ac:dyDescent="0.25">
      <c r="A1" s="49" t="s">
        <v>6</v>
      </c>
      <c r="B1" s="50" t="s">
        <v>345</v>
      </c>
      <c r="C1" s="50" t="s">
        <v>432</v>
      </c>
      <c r="D1" s="51" t="s">
        <v>433</v>
      </c>
    </row>
    <row r="2" spans="1:4" x14ac:dyDescent="0.25">
      <c r="A2" s="53"/>
      <c r="B2" s="23">
        <v>1</v>
      </c>
      <c r="C2" s="23" t="str">
        <f>IFERROR(VLOOKUP(ENTRADAS[[#This Row],[CODIGO]],PRODUCTOS[],2,FALSE)," ")</f>
        <v>ESTUFA DE 2 PUESTOS ABBA</v>
      </c>
      <c r="D2" s="52">
        <v>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C4A5C-9C05-42FF-99FB-1DD6F5A26A9B}">
  <dimension ref="A1:F3"/>
  <sheetViews>
    <sheetView workbookViewId="0">
      <selection activeCell="G3" sqref="G3"/>
    </sheetView>
  </sheetViews>
  <sheetFormatPr baseColWidth="10" defaultRowHeight="15" x14ac:dyDescent="0.25"/>
  <cols>
    <col min="3" max="3" width="45.5703125" customWidth="1"/>
    <col min="4" max="4" width="12.85546875" customWidth="1"/>
    <col min="5" max="5" width="20.42578125" customWidth="1"/>
    <col min="6" max="6" width="23" customWidth="1"/>
  </cols>
  <sheetData>
    <row r="1" spans="1:6" x14ac:dyDescent="0.25">
      <c r="A1" s="49" t="s">
        <v>436</v>
      </c>
      <c r="B1" s="50" t="s">
        <v>345</v>
      </c>
      <c r="C1" s="50" t="s">
        <v>432</v>
      </c>
      <c r="D1" s="50" t="s">
        <v>437</v>
      </c>
      <c r="E1" s="51" t="s">
        <v>439</v>
      </c>
      <c r="F1" s="51" t="s">
        <v>438</v>
      </c>
    </row>
    <row r="2" spans="1:6" x14ac:dyDescent="0.25">
      <c r="A2" s="53"/>
      <c r="B2" s="23">
        <v>1</v>
      </c>
      <c r="C2" s="23" t="str">
        <f>IFERROR(VLOOKUP(SALIDAS[[#This Row],[CODIGO]],PRODUCTOS[],2,FALSE)," ")</f>
        <v>ESTUFA DE 2 PUESTOS ABBA</v>
      </c>
      <c r="D2" s="23">
        <v>1</v>
      </c>
      <c r="E2" s="54">
        <f>VLOOKUP(SALIDAS[[#This Row],[CODIGO]],PRODUCTOS[],6,FALSE)</f>
        <v>85000</v>
      </c>
      <c r="F2" s="55">
        <f>SALIDAS[[#This Row],[PRECIO DE VENTA]]*SALIDAS[[#This Row],[CANTIDAD ]]</f>
        <v>85000</v>
      </c>
    </row>
    <row r="3" spans="1:6" x14ac:dyDescent="0.25">
      <c r="A3" s="53"/>
      <c r="B3" s="23">
        <v>2</v>
      </c>
      <c r="C3" s="23" t="str">
        <f>IFERROR(VLOOKUP(SALIDAS[[#This Row],[CODIGO]],PRODUCTOS[],2,FALSE)," ")</f>
        <v>ESTUFA DE 4 PUESTOS CONTINENTAL</v>
      </c>
      <c r="D3" s="23">
        <v>3</v>
      </c>
      <c r="E3" s="54">
        <f>VLOOKUP(SALIDAS[[#This Row],[CODIGO]],PRODUCTOS[],6,FALSE)</f>
        <v>270000</v>
      </c>
      <c r="F3" s="55">
        <f>SALIDAS[[#This Row],[PRECIO DE VENTA]]*SALIDAS[[#This Row],[CANTIDAD ]]</f>
        <v>810000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F50C3-8363-416E-957A-80956657049F}">
  <sheetPr codeName="Hoja1"/>
  <dimension ref="B4:G10"/>
  <sheetViews>
    <sheetView workbookViewId="0">
      <selection activeCell="G12" sqref="G12"/>
    </sheetView>
  </sheetViews>
  <sheetFormatPr baseColWidth="10" defaultRowHeight="15" x14ac:dyDescent="0.25"/>
  <cols>
    <col min="2" max="2" width="13.5703125" customWidth="1"/>
    <col min="3" max="3" width="32.85546875" customWidth="1"/>
    <col min="4" max="4" width="21.5703125" customWidth="1"/>
    <col min="5" max="5" width="17.7109375" customWidth="1"/>
    <col min="6" max="6" width="16.5703125" customWidth="1"/>
  </cols>
  <sheetData>
    <row r="4" spans="2:7" x14ac:dyDescent="0.25">
      <c r="B4" s="1" t="s">
        <v>0</v>
      </c>
      <c r="C4" s="1" t="s">
        <v>1</v>
      </c>
      <c r="D4" s="1" t="s">
        <v>2</v>
      </c>
      <c r="E4" s="1" t="s">
        <v>3</v>
      </c>
      <c r="F4" s="1" t="s">
        <v>4</v>
      </c>
    </row>
    <row r="5" spans="2:7" x14ac:dyDescent="0.25">
      <c r="B5" t="s">
        <v>19</v>
      </c>
      <c r="C5" s="1" t="s">
        <v>20</v>
      </c>
      <c r="D5" s="1">
        <v>1002957905</v>
      </c>
      <c r="E5" s="1" t="s">
        <v>21</v>
      </c>
      <c r="F5" s="1">
        <v>3152852407</v>
      </c>
    </row>
    <row r="6" spans="2:7" x14ac:dyDescent="0.25">
      <c r="B6" t="s">
        <v>23</v>
      </c>
      <c r="C6" s="1" t="s">
        <v>27</v>
      </c>
      <c r="D6" s="1"/>
      <c r="E6" s="1" t="s">
        <v>28</v>
      </c>
      <c r="F6" s="1"/>
    </row>
    <row r="7" spans="2:7" x14ac:dyDescent="0.25">
      <c r="B7" t="s">
        <v>24</v>
      </c>
      <c r="C7" s="1" t="s">
        <v>29</v>
      </c>
      <c r="D7" s="1">
        <v>1061221946</v>
      </c>
      <c r="E7" s="1" t="s">
        <v>28</v>
      </c>
      <c r="F7" s="1">
        <v>3207864364</v>
      </c>
    </row>
    <row r="8" spans="2:7" x14ac:dyDescent="0.25">
      <c r="B8" t="s">
        <v>25</v>
      </c>
      <c r="C8" s="1" t="s">
        <v>30</v>
      </c>
      <c r="D8" s="1">
        <v>1061221273</v>
      </c>
      <c r="E8" s="1" t="s">
        <v>28</v>
      </c>
      <c r="F8" s="1"/>
    </row>
    <row r="9" spans="2:7" x14ac:dyDescent="0.25">
      <c r="B9" t="s">
        <v>26</v>
      </c>
      <c r="C9" s="1" t="s">
        <v>31</v>
      </c>
      <c r="D9" s="1">
        <v>1062087237</v>
      </c>
      <c r="E9" s="1" t="s">
        <v>28</v>
      </c>
      <c r="F9" s="1">
        <v>3234669072</v>
      </c>
    </row>
    <row r="10" spans="2:7" x14ac:dyDescent="0.25">
      <c r="G10" t="s">
        <v>22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8B3BE-627C-4161-811C-8E7078881CCC}">
  <sheetPr codeName="Hoja2"/>
  <dimension ref="A1:Z27"/>
  <sheetViews>
    <sheetView showGridLines="0" topLeftCell="C6" zoomScale="95" zoomScaleNormal="95" workbookViewId="0">
      <selection activeCell="O14" sqref="O14"/>
    </sheetView>
  </sheetViews>
  <sheetFormatPr baseColWidth="10" defaultRowHeight="15" x14ac:dyDescent="0.25"/>
  <cols>
    <col min="3" max="3" width="10.7109375" customWidth="1"/>
    <col min="8" max="8" width="16.7109375" customWidth="1"/>
    <col min="9" max="9" width="59.7109375" bestFit="1" customWidth="1"/>
    <col min="10" max="11" width="6.7109375" customWidth="1"/>
    <col min="12" max="12" width="2.7109375" customWidth="1"/>
    <col min="13" max="13" width="16.7109375" customWidth="1"/>
    <col min="15" max="15" width="12.140625" customWidth="1"/>
    <col min="16" max="16" width="11.42578125" customWidth="1"/>
  </cols>
  <sheetData>
    <row r="1" spans="1:26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</row>
    <row r="6" spans="1:26" ht="31.5" x14ac:dyDescent="0.6">
      <c r="B6" s="8"/>
      <c r="C6" s="8"/>
      <c r="G6" s="4"/>
      <c r="H6" s="5"/>
      <c r="I6" s="32" t="s">
        <v>7</v>
      </c>
      <c r="J6" s="6"/>
      <c r="O6" s="18"/>
      <c r="P6" s="47"/>
      <c r="Q6" s="47"/>
    </row>
    <row r="7" spans="1:26" x14ac:dyDescent="0.25">
      <c r="B7" s="8"/>
      <c r="C7" s="8"/>
      <c r="I7" s="19" t="s">
        <v>24</v>
      </c>
      <c r="O7" s="18"/>
      <c r="P7" s="47"/>
      <c r="Q7" s="47"/>
    </row>
    <row r="8" spans="1:26" ht="15.75" x14ac:dyDescent="0.25">
      <c r="B8" s="8"/>
      <c r="C8" s="8"/>
      <c r="H8" s="9" t="s">
        <v>5</v>
      </c>
      <c r="I8" s="17" t="str">
        <f>VLOOKUP(I7,CLIENTES[],2,FALSE)</f>
        <v>YAMID PAJA</v>
      </c>
      <c r="J8" s="10"/>
      <c r="K8" s="11" t="s">
        <v>16</v>
      </c>
      <c r="M8" s="3" t="s">
        <v>11</v>
      </c>
      <c r="O8" s="18"/>
      <c r="P8" s="47"/>
      <c r="Q8" s="47"/>
    </row>
    <row r="9" spans="1:26" ht="15.75" x14ac:dyDescent="0.25">
      <c r="B9" s="8"/>
      <c r="C9" s="8"/>
      <c r="H9" s="12"/>
      <c r="I9" s="12"/>
      <c r="J9" s="12"/>
      <c r="K9" s="12"/>
      <c r="O9" s="18"/>
      <c r="P9" s="47"/>
      <c r="Q9" s="47"/>
    </row>
    <row r="10" spans="1:26" ht="15.75" x14ac:dyDescent="0.25">
      <c r="B10" s="8"/>
      <c r="C10" s="8"/>
      <c r="H10" s="9" t="s">
        <v>8</v>
      </c>
      <c r="I10" s="17" t="str">
        <f>VLOOKUP(L10,PRODUCTOS[],2,FALSE)</f>
        <v xml:space="preserve">BIFE </v>
      </c>
      <c r="J10" s="10"/>
      <c r="K10" s="17">
        <v>1</v>
      </c>
      <c r="L10" s="30">
        <v>6</v>
      </c>
      <c r="M10" s="31">
        <f>VLOOKUP(L10,PRODUCTOS[],7,FALSE)*K10</f>
        <v>570000</v>
      </c>
      <c r="O10" s="18"/>
      <c r="P10" s="47"/>
      <c r="Q10" s="47"/>
    </row>
    <row r="11" spans="1:26" ht="15.75" x14ac:dyDescent="0.25">
      <c r="B11" s="8"/>
      <c r="C11" s="8"/>
      <c r="H11" s="9"/>
      <c r="I11" s="17" t="str">
        <f>VLOOKUP(L11,PRODUCTOS[],2,FALSE)</f>
        <v>NEVERA HACEB DE 220LT</v>
      </c>
      <c r="J11" s="10"/>
      <c r="K11" s="17">
        <v>1</v>
      </c>
      <c r="L11" s="37">
        <v>13</v>
      </c>
      <c r="M11" s="31">
        <f>VLOOKUP(L11,PRODUCTOS[],7,FALSE)*K11</f>
        <v>1360000</v>
      </c>
      <c r="O11" s="18"/>
      <c r="P11" s="47"/>
      <c r="Q11" s="47"/>
    </row>
    <row r="12" spans="1:26" ht="15.75" x14ac:dyDescent="0.25">
      <c r="B12" s="8"/>
      <c r="C12" s="8"/>
      <c r="H12" s="9"/>
      <c r="I12" s="17" t="str">
        <f>VLOOKUP(L12,PRODUCTOS[],2,FALSE)</f>
        <v>NEVERA HACEB DE 220LT</v>
      </c>
      <c r="J12" s="10"/>
      <c r="K12" s="17">
        <v>1</v>
      </c>
      <c r="L12" s="36">
        <v>13</v>
      </c>
      <c r="M12" s="31">
        <f>VLOOKUP(L12,PRODUCTOS[],7,FALSE)*K12</f>
        <v>1360000</v>
      </c>
      <c r="O12" s="18"/>
      <c r="P12" s="47"/>
      <c r="Q12" s="47"/>
    </row>
    <row r="13" spans="1:26" ht="15.75" x14ac:dyDescent="0.25">
      <c r="B13" s="8"/>
      <c r="C13" s="8"/>
      <c r="H13" s="9"/>
      <c r="I13" s="14"/>
      <c r="J13" s="14"/>
      <c r="K13" s="12"/>
      <c r="O13" s="18"/>
      <c r="P13" s="47"/>
      <c r="Q13" s="47"/>
    </row>
    <row r="14" spans="1:26" ht="15.75" x14ac:dyDescent="0.25">
      <c r="B14" s="8"/>
      <c r="C14" s="8"/>
      <c r="H14" s="9" t="s">
        <v>11</v>
      </c>
      <c r="I14" s="35">
        <f>SUM(M10:M12)</f>
        <v>3290000</v>
      </c>
      <c r="J14" s="10"/>
      <c r="K14" s="12"/>
      <c r="O14" s="18"/>
      <c r="P14" s="47"/>
      <c r="Q14" s="47"/>
    </row>
    <row r="15" spans="1:26" ht="15.75" x14ac:dyDescent="0.25">
      <c r="B15" s="8"/>
      <c r="C15" s="8"/>
      <c r="H15" s="9"/>
      <c r="I15" s="14"/>
      <c r="J15" s="14"/>
      <c r="K15" s="12"/>
      <c r="O15" s="18"/>
      <c r="P15" s="47"/>
      <c r="Q15" s="47"/>
    </row>
    <row r="16" spans="1:26" ht="15.75" x14ac:dyDescent="0.25">
      <c r="B16" s="8"/>
      <c r="C16" s="8"/>
      <c r="H16" s="9" t="s">
        <v>13</v>
      </c>
      <c r="I16" s="33"/>
      <c r="J16" s="10"/>
      <c r="K16" s="14"/>
      <c r="O16" s="18"/>
      <c r="P16" s="47"/>
      <c r="Q16" s="47"/>
    </row>
    <row r="17" spans="2:17" ht="15.75" x14ac:dyDescent="0.25">
      <c r="B17" s="8"/>
      <c r="C17" s="8"/>
      <c r="H17" s="9"/>
      <c r="I17" s="14"/>
      <c r="J17" s="14"/>
      <c r="K17" s="12"/>
      <c r="O17" s="18"/>
      <c r="P17" s="47"/>
      <c r="Q17" s="47"/>
    </row>
    <row r="18" spans="2:17" ht="15.75" x14ac:dyDescent="0.25">
      <c r="B18" s="8"/>
      <c r="C18" s="8"/>
      <c r="H18" s="9" t="s">
        <v>12</v>
      </c>
      <c r="I18" s="33"/>
      <c r="J18" s="15"/>
      <c r="K18" s="12"/>
      <c r="O18" s="18"/>
      <c r="P18" s="47"/>
      <c r="Q18" s="47"/>
    </row>
    <row r="19" spans="2:17" ht="15.75" x14ac:dyDescent="0.25">
      <c r="B19" s="8"/>
      <c r="C19" s="8"/>
      <c r="H19" s="9"/>
      <c r="I19" s="12"/>
      <c r="J19" s="12"/>
      <c r="K19" s="12"/>
      <c r="O19" s="18"/>
      <c r="P19" s="47"/>
      <c r="Q19" s="47"/>
    </row>
    <row r="20" spans="2:17" ht="15.75" x14ac:dyDescent="0.25">
      <c r="B20" s="8"/>
      <c r="C20" s="8"/>
      <c r="H20" s="9" t="s">
        <v>9</v>
      </c>
      <c r="I20" s="17"/>
      <c r="J20" s="12"/>
      <c r="K20" s="12"/>
      <c r="O20" s="18"/>
      <c r="P20" s="47"/>
      <c r="Q20" s="47"/>
    </row>
    <row r="21" spans="2:17" ht="15.75" x14ac:dyDescent="0.25">
      <c r="B21" s="8"/>
      <c r="C21" s="8"/>
      <c r="H21" s="9"/>
      <c r="I21" s="12"/>
      <c r="J21" s="12"/>
      <c r="K21" s="12"/>
      <c r="O21" s="18"/>
      <c r="P21" s="47"/>
      <c r="Q21" s="47"/>
    </row>
    <row r="22" spans="2:17" ht="15.75" x14ac:dyDescent="0.25">
      <c r="B22" s="8"/>
      <c r="C22" s="8"/>
      <c r="H22" s="9" t="s">
        <v>14</v>
      </c>
      <c r="I22" s="17"/>
      <c r="J22" s="12"/>
      <c r="K22" s="12"/>
      <c r="O22" s="18"/>
      <c r="P22" s="47"/>
      <c r="Q22" s="47"/>
    </row>
    <row r="23" spans="2:17" ht="15.75" x14ac:dyDescent="0.25">
      <c r="B23" s="8"/>
      <c r="C23" s="8"/>
      <c r="H23" s="9"/>
      <c r="I23" s="12"/>
      <c r="J23" s="12"/>
      <c r="K23" s="12"/>
      <c r="O23" s="18"/>
      <c r="P23" s="47"/>
      <c r="Q23" s="47"/>
    </row>
    <row r="24" spans="2:17" ht="15.75" x14ac:dyDescent="0.25">
      <c r="B24" s="8"/>
      <c r="C24" s="8"/>
      <c r="H24" s="9" t="s">
        <v>6</v>
      </c>
      <c r="I24" s="17"/>
      <c r="J24" s="12"/>
      <c r="K24" s="12"/>
      <c r="O24" s="18"/>
      <c r="P24" s="47"/>
      <c r="Q24" s="47"/>
    </row>
    <row r="25" spans="2:17" ht="15.75" x14ac:dyDescent="0.25">
      <c r="B25" s="8"/>
      <c r="C25" s="8"/>
      <c r="H25" s="12"/>
      <c r="I25" s="12"/>
      <c r="J25" s="12"/>
      <c r="K25" s="12"/>
      <c r="O25" s="18"/>
      <c r="P25" s="47"/>
      <c r="Q25" s="47"/>
    </row>
    <row r="26" spans="2:17" ht="15.75" x14ac:dyDescent="0.25">
      <c r="B26" s="8"/>
      <c r="C26" s="8"/>
      <c r="H26" s="9" t="s">
        <v>18</v>
      </c>
      <c r="I26" s="46"/>
      <c r="J26" s="46"/>
      <c r="K26" s="46"/>
      <c r="L26" s="46"/>
      <c r="M26" s="46"/>
      <c r="O26" s="18"/>
      <c r="P26" s="47"/>
      <c r="Q26" s="47"/>
    </row>
    <row r="27" spans="2:17" x14ac:dyDescent="0.25">
      <c r="B27" s="8"/>
      <c r="C27" s="8"/>
      <c r="O27" s="18"/>
      <c r="P27" s="47"/>
      <c r="Q27" s="47"/>
    </row>
  </sheetData>
  <mergeCells count="2">
    <mergeCell ref="I26:M26"/>
    <mergeCell ref="P6:Q27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4F38B-6483-4F13-AF26-0CF430675FBD}">
  <sheetPr codeName="Hoja3"/>
  <dimension ref="A1:Z24"/>
  <sheetViews>
    <sheetView showGridLines="0" topLeftCell="C2" workbookViewId="0">
      <selection activeCell="L12" sqref="L12"/>
    </sheetView>
  </sheetViews>
  <sheetFormatPr baseColWidth="10" defaultRowHeight="15" x14ac:dyDescent="0.25"/>
  <cols>
    <col min="5" max="6" width="11.42578125" customWidth="1"/>
    <col min="7" max="7" width="15" bestFit="1" customWidth="1"/>
    <col min="8" max="8" width="59.7109375" bestFit="1" customWidth="1"/>
    <col min="9" max="9" width="5.7109375" customWidth="1"/>
    <col min="10" max="10" width="6.7109375" customWidth="1"/>
    <col min="11" max="11" width="2.7109375" customWidth="1"/>
    <col min="12" max="12" width="15.7109375" customWidth="1"/>
    <col min="13" max="13" width="2.7109375" customWidth="1"/>
    <col min="14" max="14" width="15.7109375" customWidth="1"/>
    <col min="15" max="15" width="8.140625" customWidth="1"/>
  </cols>
  <sheetData>
    <row r="1" spans="1:26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x14ac:dyDescent="0.2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x14ac:dyDescent="0.25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x14ac:dyDescent="0.25">
      <c r="B5" s="8"/>
      <c r="C5" s="8"/>
      <c r="P5" s="8"/>
      <c r="Q5" s="8"/>
    </row>
    <row r="6" spans="1:26" ht="31.5" x14ac:dyDescent="0.6">
      <c r="B6" s="8"/>
      <c r="C6" s="8"/>
      <c r="H6" s="32" t="s">
        <v>15</v>
      </c>
      <c r="P6" s="8"/>
      <c r="Q6" s="8"/>
    </row>
    <row r="7" spans="1:26" x14ac:dyDescent="0.25">
      <c r="B7" s="8"/>
      <c r="C7" s="8"/>
      <c r="H7" s="40" t="s">
        <v>24</v>
      </c>
      <c r="P7" s="8"/>
      <c r="Q7" s="8"/>
    </row>
    <row r="8" spans="1:26" ht="15.75" x14ac:dyDescent="0.25">
      <c r="B8" s="8"/>
      <c r="C8" s="8"/>
      <c r="G8" s="9" t="s">
        <v>5</v>
      </c>
      <c r="H8" s="34" t="str">
        <f>VLOOKUP(H7,CLIENTES[],2,FALSE)</f>
        <v>YAMID PAJA</v>
      </c>
      <c r="I8" s="12"/>
      <c r="J8" s="16" t="s">
        <v>16</v>
      </c>
      <c r="K8" s="9"/>
      <c r="L8" s="9" t="s">
        <v>10</v>
      </c>
      <c r="M8" s="9"/>
      <c r="N8" s="9" t="s">
        <v>11</v>
      </c>
      <c r="P8" s="8"/>
      <c r="Q8" s="8"/>
    </row>
    <row r="9" spans="1:26" ht="15.75" x14ac:dyDescent="0.25">
      <c r="B9" s="8"/>
      <c r="C9" s="8"/>
      <c r="G9" s="9"/>
      <c r="H9" s="12"/>
      <c r="I9" s="12"/>
      <c r="J9" s="12"/>
      <c r="K9" s="12"/>
      <c r="L9" s="12"/>
      <c r="M9" s="12"/>
      <c r="N9" s="12"/>
      <c r="P9" s="8"/>
      <c r="Q9" s="8"/>
    </row>
    <row r="10" spans="1:26" ht="15.75" x14ac:dyDescent="0.25">
      <c r="B10" s="8"/>
      <c r="C10" s="8"/>
      <c r="G10" s="9" t="s">
        <v>8</v>
      </c>
      <c r="H10" s="34" t="str">
        <f>VLOOKUP(K10,PRODUCTOS[],2,FALSE)</f>
        <v>TV PANASONIC DE 32''</v>
      </c>
      <c r="I10" s="12"/>
      <c r="J10" s="34">
        <v>1</v>
      </c>
      <c r="K10" s="41">
        <v>43</v>
      </c>
      <c r="L10" s="43">
        <f>VLOOKUP(K10,PRODUCTOS[],6,FALSE)</f>
        <v>1250000</v>
      </c>
      <c r="M10" s="12"/>
      <c r="N10" s="43">
        <f>L10*J10</f>
        <v>1250000</v>
      </c>
      <c r="P10" s="8"/>
      <c r="Q10" s="8"/>
    </row>
    <row r="11" spans="1:26" ht="15.75" x14ac:dyDescent="0.25">
      <c r="B11" s="8"/>
      <c r="C11" s="8"/>
      <c r="G11" s="9"/>
      <c r="H11" s="34" t="str">
        <f>VLOOKUP(K11,PRODUCTOS[],2,FALSE)</f>
        <v>NEVERA HACEB DE 220LT</v>
      </c>
      <c r="I11" s="12"/>
      <c r="J11" s="34">
        <v>1</v>
      </c>
      <c r="K11" s="41">
        <v>13</v>
      </c>
      <c r="L11" s="43">
        <f>VLOOKUP(K11,PRODUCTOS[],6,FALSE)</f>
        <v>1260000</v>
      </c>
      <c r="M11" s="12"/>
      <c r="N11" s="43">
        <f t="shared" ref="N11:N13" si="0">L11*J11</f>
        <v>1260000</v>
      </c>
      <c r="P11" s="8"/>
      <c r="Q11" s="8"/>
    </row>
    <row r="12" spans="1:26" ht="15.75" x14ac:dyDescent="0.25">
      <c r="B12" s="8"/>
      <c r="C12" s="8"/>
      <c r="G12" s="9"/>
      <c r="H12" s="34" t="str">
        <f>VLOOKUP(K12,PRODUCTOS[],2,FALSE)</f>
        <v xml:space="preserve">NEVERA HACEB DOBLE PUERTA </v>
      </c>
      <c r="I12" s="12"/>
      <c r="J12" s="34">
        <v>1</v>
      </c>
      <c r="K12" s="45">
        <v>15</v>
      </c>
      <c r="L12" s="43">
        <f>VLOOKUP(K12,PRODUCTOS[],6,FALSE)</f>
        <v>2050000</v>
      </c>
      <c r="M12" s="12"/>
      <c r="N12" s="43">
        <f t="shared" si="0"/>
        <v>2050000</v>
      </c>
      <c r="P12" s="8"/>
      <c r="Q12" s="8"/>
    </row>
    <row r="13" spans="1:26" ht="15.75" x14ac:dyDescent="0.25">
      <c r="B13" s="8"/>
      <c r="C13" s="8"/>
      <c r="G13" s="9"/>
      <c r="H13" s="34" t="str">
        <f>VLOOKUP(K13,PRODUCTOS[],2,FALSE)</f>
        <v>ESTUFA DE 2 PUESTOS ABBA</v>
      </c>
      <c r="I13" s="12"/>
      <c r="J13" s="34">
        <v>1</v>
      </c>
      <c r="K13" s="41">
        <v>1</v>
      </c>
      <c r="L13" s="43">
        <f>VLOOKUP(K13,PRODUCTOS[],6,FALSE)</f>
        <v>85000</v>
      </c>
      <c r="M13" s="12"/>
      <c r="N13" s="43">
        <f t="shared" si="0"/>
        <v>85000</v>
      </c>
      <c r="P13" s="8"/>
      <c r="Q13" s="8"/>
    </row>
    <row r="14" spans="1:26" ht="15.75" x14ac:dyDescent="0.25">
      <c r="B14" s="8"/>
      <c r="C14" s="8"/>
      <c r="G14" s="9"/>
      <c r="H14" s="12"/>
      <c r="I14" s="12"/>
      <c r="J14" s="12"/>
      <c r="K14" s="12"/>
      <c r="L14" s="12"/>
      <c r="M14" s="12"/>
      <c r="N14" s="12"/>
      <c r="P14" s="8"/>
      <c r="Q14" s="8"/>
    </row>
    <row r="15" spans="1:26" ht="15.75" x14ac:dyDescent="0.25">
      <c r="B15" s="8"/>
      <c r="C15" s="8"/>
      <c r="G15" s="9" t="s">
        <v>11</v>
      </c>
      <c r="H15" s="44">
        <f>SUM(N10:N13)</f>
        <v>4645000</v>
      </c>
      <c r="I15" s="12"/>
      <c r="J15" s="12"/>
      <c r="K15" s="12"/>
      <c r="L15" s="12"/>
      <c r="M15" s="12"/>
      <c r="N15" s="12"/>
      <c r="P15" s="8"/>
      <c r="Q15" s="8"/>
    </row>
    <row r="16" spans="1:26" ht="15.75" x14ac:dyDescent="0.25">
      <c r="B16" s="8"/>
      <c r="C16" s="8"/>
      <c r="G16" s="9"/>
      <c r="H16" s="12"/>
      <c r="I16" s="12"/>
      <c r="J16" s="12"/>
      <c r="K16" s="12"/>
      <c r="L16" s="12"/>
      <c r="M16" s="12"/>
      <c r="N16" s="12"/>
      <c r="P16" s="8"/>
      <c r="Q16" s="8"/>
    </row>
    <row r="17" spans="2:17" ht="15.75" x14ac:dyDescent="0.25">
      <c r="B17" s="8"/>
      <c r="C17" s="8"/>
      <c r="G17" s="9" t="s">
        <v>17</v>
      </c>
      <c r="H17" s="42"/>
      <c r="I17" s="12"/>
      <c r="J17" s="12"/>
      <c r="K17" s="12"/>
      <c r="L17" s="12"/>
      <c r="M17" s="12"/>
      <c r="N17" s="12"/>
      <c r="P17" s="8"/>
      <c r="Q17" s="8"/>
    </row>
    <row r="18" spans="2:17" ht="15.75" x14ac:dyDescent="0.25">
      <c r="B18" s="8"/>
      <c r="C18" s="8"/>
      <c r="G18" s="9"/>
      <c r="H18" s="12"/>
      <c r="I18" s="12"/>
      <c r="J18" s="12"/>
      <c r="K18" s="12"/>
      <c r="L18" s="12"/>
      <c r="M18" s="12"/>
      <c r="N18" s="12"/>
      <c r="P18" s="8"/>
      <c r="Q18" s="8"/>
    </row>
    <row r="19" spans="2:17" ht="15.75" x14ac:dyDescent="0.25">
      <c r="B19" s="8"/>
      <c r="C19" s="8"/>
      <c r="G19" s="9" t="s">
        <v>6</v>
      </c>
      <c r="H19" s="13"/>
      <c r="I19" s="12"/>
      <c r="J19" s="12"/>
      <c r="K19" s="12"/>
      <c r="L19" s="12"/>
      <c r="M19" s="12"/>
      <c r="N19" s="12"/>
      <c r="P19" s="8"/>
      <c r="Q19" s="8"/>
    </row>
    <row r="20" spans="2:17" x14ac:dyDescent="0.25">
      <c r="B20" s="8"/>
      <c r="C20" s="8"/>
      <c r="P20" s="8"/>
      <c r="Q20" s="8"/>
    </row>
    <row r="21" spans="2:17" x14ac:dyDescent="0.25">
      <c r="B21" s="8"/>
      <c r="C21" s="8"/>
      <c r="P21" s="8"/>
      <c r="Q21" s="8"/>
    </row>
    <row r="22" spans="2:17" x14ac:dyDescent="0.25">
      <c r="B22" s="8"/>
      <c r="C22" s="8"/>
      <c r="P22" s="8"/>
      <c r="Q22" s="8"/>
    </row>
    <row r="23" spans="2:17" x14ac:dyDescent="0.25">
      <c r="B23" s="8"/>
      <c r="C23" s="8"/>
      <c r="P23" s="8"/>
      <c r="Q23" s="8"/>
    </row>
    <row r="24" spans="2:17" x14ac:dyDescent="0.25">
      <c r="C24" s="8"/>
      <c r="P24" s="8"/>
    </row>
  </sheetData>
  <mergeCells count="1">
    <mergeCell ref="A1:Z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PRODUCTOS </vt:lpstr>
      <vt:lpstr>ENTRADAS</vt:lpstr>
      <vt:lpstr>SALIDAS</vt:lpstr>
      <vt:lpstr>CLIENTES</vt:lpstr>
      <vt:lpstr>CREDITOS</vt:lpstr>
      <vt:lpstr>CONTADO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Anderson Calderon</dc:creator>
  <cp:lastModifiedBy>Anderson Calderon</cp:lastModifiedBy>
  <dcterms:created xsi:type="dcterms:W3CDTF">2023-02-06T15:45:09Z</dcterms:created>
  <dcterms:modified xsi:type="dcterms:W3CDTF">2023-02-22T18:44:33Z</dcterms:modified>
</cp:coreProperties>
</file>